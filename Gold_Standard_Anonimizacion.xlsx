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W273BT\Downloads\"/>
    </mc:Choice>
  </mc:AlternateContent>
  <xr:revisionPtr revIDLastSave="225" documentId="8_{A91D3193-255F-4F16-81DD-65C18430D2A9}" xr6:coauthVersionLast="47" xr6:coauthVersionMax="47" xr10:uidLastSave="{FDD81E6E-CE7A-4286-8BB9-05CEC86DCC59}"/>
  <bookViews>
    <workbookView xWindow="-110" yWindow="-110" windowWidth="19420" windowHeight="11500" firstSheet="5" activeTab="4" xr2:uid="{00000000-000D-0000-FFFF-FFFF00000000}"/>
  </bookViews>
  <sheets>
    <sheet name="Guidelines" sheetId="1" r:id="rId1"/>
    <sheet name="Gold_Standard" sheetId="3" r:id="rId2"/>
    <sheet name="Datos_Originales" sheetId="2" r:id="rId3"/>
    <sheet name="Validacion_Modelo" sheetId="7" r:id="rId4"/>
    <sheet name="Predicciones_Modelo" sheetId="4" r:id="rId5"/>
    <sheet name="Metrica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3" i="6"/>
  <c r="C2" i="6"/>
  <c r="C6" i="6" l="1"/>
  <c r="C5" i="6"/>
  <c r="C7" i="6"/>
</calcChain>
</file>

<file path=xl/sharedStrings.xml><?xml version="1.0" encoding="utf-8"?>
<sst xmlns="http://schemas.openxmlformats.org/spreadsheetml/2006/main" count="537" uniqueCount="193">
  <si>
    <t>Entidad</t>
  </si>
  <si>
    <t>Qué es</t>
  </si>
  <si>
    <t>Ejemplo Original</t>
  </si>
  <si>
    <t>Ejemplo Anonimizado</t>
  </si>
  <si>
    <t>Regla (Sustitución)</t>
  </si>
  <si>
    <t>Tipo HIPAA/MedOCCAN</t>
  </si>
  <si>
    <t>Patrón (Regex opcional)</t>
  </si>
  <si>
    <t>Obligatorio</t>
  </si>
  <si>
    <t>Comentarios</t>
  </si>
  <si>
    <t>Nombre Paciente</t>
  </si>
  <si>
    <t>Nombre propio de la persona paciente.</t>
  </si>
  <si>
    <t>Juan Pérez</t>
  </si>
  <si>
    <t>XXXX</t>
  </si>
  <si>
    <t>Patient Identifier</t>
  </si>
  <si>
    <t>Sí</t>
  </si>
  <si>
    <t>Nombre Profesional</t>
  </si>
  <si>
    <t>Nombre del profesional sanitario.</t>
  </si>
  <si>
    <t>Dra. María López</t>
  </si>
  <si>
    <t>Provider Identifier</t>
  </si>
  <si>
    <t>Hospital</t>
  </si>
  <si>
    <t>Nombre del hospital o clínica.</t>
  </si>
  <si>
    <t>Hospital Virgen del Mar</t>
  </si>
  <si>
    <t>Hospital_XXX</t>
  </si>
  <si>
    <t>Location Identifier</t>
  </si>
  <si>
    <t>Servicio/Unidad</t>
  </si>
  <si>
    <t>Nombre del servicio o unidad clínica.</t>
  </si>
  <si>
    <t>Unidad de Oncología</t>
  </si>
  <si>
    <t>Service_XXX</t>
  </si>
  <si>
    <t>Location/Organization</t>
  </si>
  <si>
    <t>No</t>
  </si>
  <si>
    <t>Dirección</t>
  </si>
  <si>
    <t>Dirección física que identifica al paciente.</t>
  </si>
  <si>
    <t>C/ Mayor 15, 3B</t>
  </si>
  <si>
    <t>Address_XXX</t>
  </si>
  <si>
    <t>Geographic Subdivision</t>
  </si>
  <si>
    <t>Ciudad</t>
  </si>
  <si>
    <t>Ciudad de residencia o atención.</t>
  </si>
  <si>
    <t>Madrid</t>
  </si>
  <si>
    <t>City_XXX</t>
  </si>
  <si>
    <t>Código Postal</t>
  </si>
  <si>
    <t>Código postal asociado a la dirección.</t>
  </si>
  <si>
    <t>28013</t>
  </si>
  <si>
    <t>ZIP_XXX</t>
  </si>
  <si>
    <t>País</t>
  </si>
  <si>
    <t>País de residencia.</t>
  </si>
  <si>
    <t>España</t>
  </si>
  <si>
    <t>Country_XXX</t>
  </si>
  <si>
    <t>Fecha de nacimiento</t>
  </si>
  <si>
    <t>Fecha de nacimiento exacta del paciente.</t>
  </si>
  <si>
    <t>12/03/1985</t>
  </si>
  <si>
    <t>DOB_XX/XX/XXXX</t>
  </si>
  <si>
    <t>Temporal Identifier</t>
  </si>
  <si>
    <t>\d{2}/\d{2}/\d{4}</t>
  </si>
  <si>
    <t>Fecha de ingreso</t>
  </si>
  <si>
    <t>Fecha de ingreso en el hospital.</t>
  </si>
  <si>
    <t>03/12/2025</t>
  </si>
  <si>
    <t>ADMIT_XX/XX/XXXX</t>
  </si>
  <si>
    <t>Fecha de alta</t>
  </si>
  <si>
    <t>Fecha de alta hospitalaria.</t>
  </si>
  <si>
    <t>10/12/2025</t>
  </si>
  <si>
    <t>DISCH_XX/XX/XXXX</t>
  </si>
  <si>
    <t>Edad</t>
  </si>
  <si>
    <t>Edad del paciente.</t>
  </si>
  <si>
    <t>45</t>
  </si>
  <si>
    <t>Age_XX</t>
  </si>
  <si>
    <t>Demographic</t>
  </si>
  <si>
    <t>\d{1,3}</t>
  </si>
  <si>
    <t>Sexo</t>
  </si>
  <si>
    <t>Sexo/Género del paciente.</t>
  </si>
  <si>
    <t>Mujer</t>
  </si>
  <si>
    <t>Gender_X</t>
  </si>
  <si>
    <t>Teléfono</t>
  </si>
  <si>
    <t>Número de teléfono de contacto.</t>
  </si>
  <si>
    <t>+34 600 123 123</t>
  </si>
  <si>
    <t>Phone_XXX</t>
  </si>
  <si>
    <t>Contact Identifier</t>
  </si>
  <si>
    <t>\+?\d[\d\s]{6,}</t>
  </si>
  <si>
    <t>Email</t>
  </si>
  <si>
    <t>Correo electrónico del paciente.</t>
  </si>
  <si>
    <t>juan.perez@gmail.com</t>
  </si>
  <si>
    <t>Mail_XXX</t>
  </si>
  <si>
    <t>.+@.+\..+</t>
  </si>
  <si>
    <t>DNI/NIF</t>
  </si>
  <si>
    <t>Documento de identificación nacional.</t>
  </si>
  <si>
    <t>12345678A</t>
  </si>
  <si>
    <t>ID_XXXXX</t>
  </si>
  <si>
    <t>Unique Identifier</t>
  </si>
  <si>
    <t>[0-9]{7,8}[A-Z]</t>
  </si>
  <si>
    <t>Pasaporte</t>
  </si>
  <si>
    <t>Número de pasaporte u otro ID internacional.</t>
  </si>
  <si>
    <t>XK123456</t>
  </si>
  <si>
    <t>PASS_XXXX</t>
  </si>
  <si>
    <t>Nº Historia Clínica</t>
  </si>
  <si>
    <t>Número de historia clínica del paciente.</t>
  </si>
  <si>
    <t>HC-0099123</t>
  </si>
  <si>
    <t>MRN_XXXXX</t>
  </si>
  <si>
    <t>Medical Record Identifier</t>
  </si>
  <si>
    <t>Nº Seguro Médico</t>
  </si>
  <si>
    <t>Identificador del seguro médico.</t>
  </si>
  <si>
    <t>SEG-123-999</t>
  </si>
  <si>
    <t>INS_XXXXX</t>
  </si>
  <si>
    <t>Health Plan Beneficiary</t>
  </si>
  <si>
    <t>IP</t>
  </si>
  <si>
    <t>Dirección IP asociada al acceso.</t>
  </si>
  <si>
    <t>192.168.1.10</t>
  </si>
  <si>
    <t>IP_XXX</t>
  </si>
  <si>
    <t>Device Identifier</t>
  </si>
  <si>
    <t>\d{1,3}(\.\d{1,3}){3}</t>
  </si>
  <si>
    <t>ID Dispositivo</t>
  </si>
  <si>
    <t>ID de dispositivo, móvil o monitor.</t>
  </si>
  <si>
    <t>DEV-ABC-123</t>
  </si>
  <si>
    <t>DEV_XXX</t>
  </si>
  <si>
    <t>Organización empleadora</t>
  </si>
  <si>
    <t>Organización que podría identificar al paciente.</t>
  </si>
  <si>
    <t>Banco Central de España</t>
  </si>
  <si>
    <t>Org_XXX</t>
  </si>
  <si>
    <t>Employer/Organization</t>
  </si>
  <si>
    <t>ID</t>
  </si>
  <si>
    <t>Start</t>
  </si>
  <si>
    <t>End</t>
  </si>
  <si>
    <t>Texto</t>
  </si>
  <si>
    <t>María López</t>
  </si>
  <si>
    <t>Ana Martínez</t>
  </si>
  <si>
    <t>Hospital La Paz</t>
  </si>
  <si>
    <t>15/01/2026</t>
  </si>
  <si>
    <t>Dr.Luis Herrera</t>
  </si>
  <si>
    <t>Emali</t>
  </si>
  <si>
    <t>l.herrera@hospital.com</t>
  </si>
  <si>
    <t>Nombre de Paciente</t>
  </si>
  <si>
    <t>Roberto Sánchez</t>
  </si>
  <si>
    <t>Clínica Santa María</t>
  </si>
  <si>
    <t>Fecha Ingreso</t>
  </si>
  <si>
    <t>22/11/2025</t>
  </si>
  <si>
    <t>C/Alcalá 220</t>
  </si>
  <si>
    <t>XK987654</t>
  </si>
  <si>
    <t>10.0.0.55</t>
  </si>
  <si>
    <t>DEV-XYZ-99</t>
  </si>
  <si>
    <t>Dra.Elena Torres</t>
  </si>
  <si>
    <t>NªHistoría clínica</t>
  </si>
  <si>
    <t>MRN-556677</t>
  </si>
  <si>
    <t>NªSeguro Médico</t>
  </si>
  <si>
    <t>INS-145-88</t>
  </si>
  <si>
    <t>fECHA</t>
  </si>
  <si>
    <t>+34 722 334 112</t>
  </si>
  <si>
    <t>Roberto.sn@outlook.es</t>
  </si>
  <si>
    <t>Marta Ruiz</t>
  </si>
  <si>
    <t>Fecha Nacimiento</t>
  </si>
  <si>
    <t>Hospitl</t>
  </si>
  <si>
    <t>Centro Médico Norte</t>
  </si>
  <si>
    <t>Fecha</t>
  </si>
  <si>
    <t>Juan Pérez ingresó en el Hospital Virgen del Mar el 03/12/2025 con dolor torácico.</t>
  </si>
  <si>
    <t>La paciente María López, de 45 años, vive en C/ Mayor 15, 3B, 28013 Madrid.</t>
  </si>
  <si>
    <t>Se contactó al paciente en el teléfono +34 600 123 123 y en el correo juan.perez@gmail.com.</t>
  </si>
  <si>
    <t>El paciente con DNI 12345678A y Nº de historia clínica HC-0099123 fue dado de alta el 10/12/2025.</t>
  </si>
  <si>
    <t>Accedió al portal desde la IP 192.168.1.10 utilizando el dispositivo DEV-ABC-123.</t>
  </si>
  <si>
    <t xml:space="preserve"> La paciente Ana Martínez acudió al Hospital La Paz el 15/01/2026 presentando fiebre elevada.</t>
  </si>
  <si>
    <t>El Dr. Luis Herrera contactó al paciente por correo l.herrera@hospital.com
 y al teléfono 912 556 789.</t>
  </si>
  <si>
    <t>Roberto Sánchez, de 52 años, ingresó en la Clínica Santa María el 22/11/2025.</t>
  </si>
  <si>
    <t>Se registró la dirección del paciente: C/ Alcalá 220, 28027 Madrid.</t>
  </si>
  <si>
    <t>El número de pasaporte XK987654 fue verificado durante la admisión.</t>
  </si>
  <si>
    <t>El paciente accedió desde la IP 10.0.0.55 utilizando el dispositivo DEV-XYZ-99.</t>
  </si>
  <si>
    <t>La profesional sanitaria Dra. Elena Torres actualizó la historia clínica MRN-556677.</t>
  </si>
  <si>
    <t>El seguro médico con ID INS-145-88 fue validado el 03/03/2026.</t>
  </si>
  <si>
    <t>Se notificó al paciente en el teléfono +34 722 334 112 y mediante el correo roberto.san@outlook.es</t>
  </si>
  <si>
    <t>La paciente Marta Ruiz, nacida el 08/06/1990, acudió a urgencias con dolor abdominal.</t>
  </si>
  <si>
    <t>El hospital Centro Médico Norte emitió un informe el 05/05/2025 para el paciente.</t>
  </si>
  <si>
    <t>Entidad_Gold</t>
  </si>
  <si>
    <t>Entidad_Pred</t>
  </si>
  <si>
    <t>Match</t>
  </si>
  <si>
    <t>Error_Type</t>
  </si>
  <si>
    <t>✔</t>
  </si>
  <si>
    <t>TP</t>
  </si>
  <si>
    <t>—</t>
  </si>
  <si>
    <t>✘</t>
  </si>
  <si>
    <t>FN</t>
  </si>
  <si>
    <t>Start_pred</t>
  </si>
  <si>
    <t>End_pred</t>
  </si>
  <si>
    <t>Entidad_pred</t>
  </si>
  <si>
    <t>Texto_pred</t>
  </si>
  <si>
    <t>Score</t>
  </si>
  <si>
    <t>Métrica</t>
  </si>
  <si>
    <t>Descripción</t>
  </si>
  <si>
    <t>Fórmula (Excel)</t>
  </si>
  <si>
    <t>Cuenta de verdaderos positivos</t>
  </si>
  <si>
    <t>FP</t>
  </si>
  <si>
    <t>Cuenta de falsos positivos</t>
  </si>
  <si>
    <t>Cuenta de falsos negativos</t>
  </si>
  <si>
    <t>Precision</t>
  </si>
  <si>
    <t>TP / (TP + FP)</t>
  </si>
  <si>
    <t>Recall</t>
  </si>
  <si>
    <t>TP / (TP + FN)</t>
  </si>
  <si>
    <t>F1</t>
  </si>
  <si>
    <t>2 * P * R / (P + 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</si>
</sst>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0E4F5"/>
        <bgColor rgb="FFC0E4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55">
    <dxf>
      <alignment vertical="center"/>
    </dxf>
    <dxf>
      <alignment vertical="center"/>
    </dxf>
    <dxf>
      <alignment vertic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vertical="center"/>
    </dxf>
    <dxf>
      <alignment vertic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0</xdr:row>
      <xdr:rowOff>6350</xdr:rowOff>
    </xdr:from>
    <xdr:to>
      <xdr:col>11</xdr:col>
      <xdr:colOff>539750</xdr:colOff>
      <xdr:row>4</xdr:row>
      <xdr:rowOff>146050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E45AF92-D034-76C0-BF4C-10573B6E23C9}"/>
            </a:ext>
          </a:extLst>
        </xdr:cNvPr>
        <xdr:cNvSpPr/>
      </xdr:nvSpPr>
      <xdr:spPr>
        <a:xfrm>
          <a:off x="8274050" y="6350"/>
          <a:ext cx="3511550" cy="87630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Se valida si el modelo de anonimización funciona correctamente. Si no funciona--&gt;Ver dónde--&gt; Y por qué.TP: Lo detectó bienFP: Anonimizó algo incorrectamenteFN: Dejó algo sin anonimizar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837574-B1CF-4892-B020-5DD337A5CFC3}" name="Table2" displayName="Table2" ref="A1:I23" totalsRowShown="0" headerRowDxfId="54" dataDxfId="53" headerRowBorderDxfId="51" tableBorderDxfId="52">
  <autoFilter ref="A1:I23" xr:uid="{79837574-B1CF-4892-B020-5DD337A5CFC3}"/>
  <tableColumns count="9">
    <tableColumn id="1" xr3:uid="{C275A23D-BE7D-474F-AF3F-BC15932543DC}" name="Entidad" dataDxfId="50"/>
    <tableColumn id="2" xr3:uid="{F73D5A2B-2A83-49FE-8175-BE0F79D8D268}" name="Qué es" dataDxfId="49"/>
    <tableColumn id="3" xr3:uid="{0B83EE28-9EE3-41B9-8B76-E6640A0F65B7}" name="Ejemplo Original" dataDxfId="48"/>
    <tableColumn id="4" xr3:uid="{8E37564A-9369-4C9B-8478-4AE42C27AAD0}" name="Ejemplo Anonimizado" dataDxfId="47"/>
    <tableColumn id="5" xr3:uid="{F36B94A4-B402-4C22-8B57-63E298BF58F9}" name="Regla (Sustitución)" dataDxfId="46"/>
    <tableColumn id="6" xr3:uid="{6A9B587C-BF03-4E7C-A478-E78E3F826A7B}" name="Tipo HIPAA/MedOCCAN" dataDxfId="45"/>
    <tableColumn id="7" xr3:uid="{54341E5E-F78F-43D0-85A1-4151BE14DCA5}" name="Patrón (Regex opcional)" dataDxfId="44"/>
    <tableColumn id="8" xr3:uid="{EAFDAF7A-6208-427C-8C10-AD4151A966C5}" name="Obligatorio" dataDxfId="43"/>
    <tableColumn id="9" xr3:uid="{E8F525D2-0628-49F0-88DB-308AF3632062}" name="Comentarios" dataDxfId="4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AB9C26-3BB9-448D-83A3-76ED7BF3530C}" name="Table3" displayName="Table3" ref="A1:E42" totalsRowShown="0" headerRowDxfId="41" dataDxfId="40" headerRowBorderDxfId="38" tableBorderDxfId="39">
  <autoFilter ref="A1:E42" xr:uid="{0CAB9C26-3BB9-448D-83A3-76ED7BF3530C}"/>
  <tableColumns count="5">
    <tableColumn id="1" xr3:uid="{2F3AA611-97CB-4130-817B-499DB45AD8A1}" name="ID" dataDxfId="37"/>
    <tableColumn id="2" xr3:uid="{ECE4F965-A423-453E-9940-90DEBE376E70}" name="Start" dataDxfId="36"/>
    <tableColumn id="3" xr3:uid="{B0280295-C703-41C6-8FCC-F1F7E5C2257B}" name="End" dataDxfId="35"/>
    <tableColumn id="4" xr3:uid="{7FF3A2FF-8058-423A-860F-DFA90342A2EF}" name="Entidad" dataDxfId="34"/>
    <tableColumn id="5" xr3:uid="{29A7C1B7-5F44-4CA3-88D1-A92FA7C8407E}" name="Texto" dataDxfId="3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87A3C-18F4-4209-B6FE-633C0D61382E}" name="Table1" displayName="Table1" ref="A1:B17" totalsRowShown="0" headerRowDxfId="32" dataDxfId="31" headerRowBorderDxfId="29" tableBorderDxfId="30">
  <autoFilter ref="A1:B17" xr:uid="{D7F87A3C-18F4-4209-B6FE-633C0D61382E}"/>
  <tableColumns count="2">
    <tableColumn id="1" xr3:uid="{73DE05E2-0D92-4A4F-922D-4FBE933B43DC}" name="ID" dataDxfId="28"/>
    <tableColumn id="2" xr3:uid="{9B3EFA45-A903-494D-9099-08BB69E7D610}" name="Texto" dataDxfId="2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2C29C7-D4F0-4BE4-9BCD-364DFD233237}" name="Table5" displayName="Table5" ref="A1:F42" totalsRowShown="0" headerRowDxfId="26" dataDxfId="25" headerRowBorderDxfId="23" tableBorderDxfId="24">
  <autoFilter ref="A1:F42" xr:uid="{392C29C7-D4F0-4BE4-9BCD-364DFD233237}"/>
  <tableColumns count="6">
    <tableColumn id="1" xr3:uid="{DDAC2F48-9ADC-4693-8A9A-4B290D36647D}" name="ID" dataDxfId="22"/>
    <tableColumn id="2" xr3:uid="{33479FD5-9AF9-4DAE-8419-74C5D9F6EA5F}" name="Entidad_Gold" dataDxfId="21"/>
    <tableColumn id="3" xr3:uid="{BF3D539B-4FD3-4607-B3D2-32938A4D623D}" name="Entidad_Pred" dataDxfId="20"/>
    <tableColumn id="4" xr3:uid="{840BC15C-5665-40C0-BB57-2E412D3135DA}" name="Match" dataDxfId="19"/>
    <tableColumn id="5" xr3:uid="{3E6A31BA-B17C-4203-9B04-433CE6653085}" name="Error_Type" dataDxfId="18"/>
    <tableColumn id="6" xr3:uid="{D77095F1-4628-49C8-9F88-59EA24CA1153}" name="Comentarios" dataDxfId="1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08A9D8-32BA-48C6-BE60-8251613F288E}" name="Table4" displayName="Table4" ref="A1:F42" totalsRowShown="0" headerRowDxfId="16" dataDxfId="15" headerRowBorderDxfId="13" tableBorderDxfId="14">
  <autoFilter ref="A1:F42" xr:uid="{3708A9D8-32BA-48C6-BE60-8251613F288E}"/>
  <tableColumns count="6">
    <tableColumn id="1" xr3:uid="{34439E13-A7F0-46EE-BF84-DDDC41FD8B43}" name="ID" dataDxfId="12"/>
    <tableColumn id="2" xr3:uid="{06E1DD6C-4B44-4BB0-9DBF-8A5C0F5B3D83}" name="Start_pred" dataDxfId="11"/>
    <tableColumn id="3" xr3:uid="{920F4794-E98F-45EF-B971-DC09AA4889BE}" name="End_pred" dataDxfId="10"/>
    <tableColumn id="4" xr3:uid="{97996ACD-7FCD-4926-B518-DAE372A80677}" name="Entidad_pred" dataDxfId="9"/>
    <tableColumn id="5" xr3:uid="{9718440F-38F0-4513-BAC8-B56030FF1AFD}" name="Texto_pred" dataDxfId="8"/>
    <tableColumn id="6" xr3:uid="{4E253974-F8E3-442F-A7B8-03A9C0D43927}" name="Score" dataDxf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4F85F9-2F77-46E0-A86A-4B3C05C3D68E}" name="Table6" displayName="Table6" ref="A1:C7" totalsRowShown="0" headerRowDxfId="6" dataDxfId="5" headerRowBorderDxfId="3" tableBorderDxfId="4">
  <autoFilter ref="A1:C7" xr:uid="{684F85F9-2F77-46E0-A86A-4B3C05C3D68E}"/>
  <tableColumns count="3">
    <tableColumn id="1" xr3:uid="{1C331FDC-C0DB-4990-8E97-FE43E4CEBB06}" name="Métrica" dataDxfId="2"/>
    <tableColumn id="2" xr3:uid="{BD3B035B-98EC-4EF0-B2B6-9471BEDE2F5E}" name="Descripción" dataDxfId="1"/>
    <tableColumn id="3" xr3:uid="{A0CA8DAC-846D-46A6-BF17-146E116B0982}" name="Fórmula (Excel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mailto:Roberto.sn@outlook.es" TargetMode="External"/><Relationship Id="rId1" Type="http://schemas.openxmlformats.org/officeDocument/2006/relationships/hyperlink" Target="mailto:l.herrera@hospita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zoomScale="83" workbookViewId="0">
      <pane xSplit="1" topLeftCell="B1" activePane="topRight" state="frozen"/>
      <selection pane="topRight" sqref="A1:I23"/>
    </sheetView>
  </sheetViews>
  <sheetFormatPr defaultRowHeight="14.45"/>
  <cols>
    <col min="1" max="1" width="22.42578125" bestFit="1" customWidth="1"/>
    <col min="2" max="2" width="40.5703125" bestFit="1" customWidth="1"/>
    <col min="3" max="3" width="21.5703125" bestFit="1" customWidth="1"/>
    <col min="4" max="4" width="21.140625" customWidth="1"/>
    <col min="5" max="5" width="20.28515625" bestFit="1" customWidth="1"/>
    <col min="6" max="6" width="30.28515625" customWidth="1"/>
    <col min="7" max="7" width="22.7109375" customWidth="1"/>
    <col min="8" max="8" width="15.5703125" customWidth="1"/>
    <col min="9" max="9" width="14.7109375" bestFit="1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/>
      <c r="H2" s="1" t="s">
        <v>14</v>
      </c>
      <c r="I2" s="1"/>
    </row>
    <row r="3" spans="1:9" ht="15">
      <c r="A3" s="1" t="s">
        <v>15</v>
      </c>
      <c r="B3" s="1" t="s">
        <v>16</v>
      </c>
      <c r="C3" s="1" t="s">
        <v>17</v>
      </c>
      <c r="D3" s="1" t="s">
        <v>12</v>
      </c>
      <c r="E3" s="1" t="s">
        <v>12</v>
      </c>
      <c r="F3" s="1" t="s">
        <v>18</v>
      </c>
      <c r="G3" s="1"/>
      <c r="H3" s="1" t="s">
        <v>14</v>
      </c>
      <c r="I3" s="1"/>
    </row>
    <row r="4" spans="1:9" ht="15">
      <c r="A4" s="1" t="s">
        <v>19</v>
      </c>
      <c r="B4" s="1" t="s">
        <v>20</v>
      </c>
      <c r="C4" s="1" t="s">
        <v>21</v>
      </c>
      <c r="D4" s="1" t="s">
        <v>22</v>
      </c>
      <c r="E4" s="1" t="s">
        <v>22</v>
      </c>
      <c r="F4" s="1" t="s">
        <v>23</v>
      </c>
      <c r="G4" s="1"/>
      <c r="H4" s="1" t="s">
        <v>14</v>
      </c>
      <c r="I4" s="1"/>
    </row>
    <row r="5" spans="1:9" ht="15">
      <c r="A5" s="1" t="s">
        <v>24</v>
      </c>
      <c r="B5" s="1" t="s">
        <v>25</v>
      </c>
      <c r="C5" s="1" t="s">
        <v>26</v>
      </c>
      <c r="D5" s="1" t="s">
        <v>27</v>
      </c>
      <c r="E5" s="1" t="s">
        <v>27</v>
      </c>
      <c r="F5" s="1" t="s">
        <v>28</v>
      </c>
      <c r="G5" s="1"/>
      <c r="H5" s="1" t="s">
        <v>29</v>
      </c>
      <c r="I5" s="1"/>
    </row>
    <row r="6" spans="1:9" ht="15">
      <c r="A6" s="1" t="s">
        <v>30</v>
      </c>
      <c r="B6" s="1" t="s">
        <v>31</v>
      </c>
      <c r="C6" s="1" t="s">
        <v>32</v>
      </c>
      <c r="D6" s="1" t="s">
        <v>33</v>
      </c>
      <c r="E6" s="1" t="s">
        <v>33</v>
      </c>
      <c r="F6" s="1" t="s">
        <v>34</v>
      </c>
      <c r="G6" s="1"/>
      <c r="H6" s="1" t="s">
        <v>14</v>
      </c>
      <c r="I6" s="1"/>
    </row>
    <row r="7" spans="1:9" ht="15">
      <c r="A7" s="1" t="s">
        <v>35</v>
      </c>
      <c r="B7" s="1" t="s">
        <v>36</v>
      </c>
      <c r="C7" s="1" t="s">
        <v>37</v>
      </c>
      <c r="D7" s="1" t="s">
        <v>38</v>
      </c>
      <c r="E7" s="1" t="s">
        <v>38</v>
      </c>
      <c r="F7" s="1" t="s">
        <v>34</v>
      </c>
      <c r="G7" s="1"/>
      <c r="H7" s="1" t="s">
        <v>14</v>
      </c>
      <c r="I7" s="1"/>
    </row>
    <row r="8" spans="1:9" ht="15">
      <c r="A8" s="1" t="s">
        <v>39</v>
      </c>
      <c r="B8" s="1" t="s">
        <v>40</v>
      </c>
      <c r="C8" s="1" t="s">
        <v>41</v>
      </c>
      <c r="D8" s="1" t="s">
        <v>42</v>
      </c>
      <c r="E8" s="1" t="s">
        <v>42</v>
      </c>
      <c r="F8" s="1" t="s">
        <v>34</v>
      </c>
      <c r="G8" s="1"/>
      <c r="H8" s="1" t="s">
        <v>14</v>
      </c>
      <c r="I8" s="1"/>
    </row>
    <row r="9" spans="1:9" ht="15">
      <c r="A9" s="1" t="s">
        <v>43</v>
      </c>
      <c r="B9" s="1" t="s">
        <v>44</v>
      </c>
      <c r="C9" s="1" t="s">
        <v>45</v>
      </c>
      <c r="D9" s="1" t="s">
        <v>46</v>
      </c>
      <c r="E9" s="1" t="s">
        <v>46</v>
      </c>
      <c r="F9" s="1" t="s">
        <v>34</v>
      </c>
      <c r="G9" s="1"/>
      <c r="H9" s="1" t="s">
        <v>14</v>
      </c>
      <c r="I9" s="1"/>
    </row>
    <row r="10" spans="1:9" ht="1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50</v>
      </c>
      <c r="F10" s="1" t="s">
        <v>51</v>
      </c>
      <c r="G10" s="1" t="s">
        <v>52</v>
      </c>
      <c r="H10" s="1" t="s">
        <v>14</v>
      </c>
      <c r="I10" s="1"/>
    </row>
    <row r="11" spans="1:9" ht="1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56</v>
      </c>
      <c r="F11" s="1" t="s">
        <v>51</v>
      </c>
      <c r="G11" s="1" t="s">
        <v>52</v>
      </c>
      <c r="H11" s="1" t="s">
        <v>14</v>
      </c>
      <c r="I11" s="1"/>
    </row>
    <row r="12" spans="1:9" ht="1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60</v>
      </c>
      <c r="F12" s="1" t="s">
        <v>51</v>
      </c>
      <c r="G12" s="1" t="s">
        <v>52</v>
      </c>
      <c r="H12" s="1" t="s">
        <v>14</v>
      </c>
      <c r="I12" s="1"/>
    </row>
    <row r="13" spans="1:9" ht="15">
      <c r="A13" s="1" t="s">
        <v>61</v>
      </c>
      <c r="B13" s="1" t="s">
        <v>62</v>
      </c>
      <c r="C13" s="1" t="s">
        <v>63</v>
      </c>
      <c r="D13" s="1" t="s">
        <v>64</v>
      </c>
      <c r="E13" s="1" t="s">
        <v>64</v>
      </c>
      <c r="F13" s="1" t="s">
        <v>65</v>
      </c>
      <c r="G13" s="1" t="s">
        <v>66</v>
      </c>
      <c r="H13" s="1" t="s">
        <v>14</v>
      </c>
      <c r="I13" s="1"/>
    </row>
    <row r="14" spans="1:9" ht="15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70</v>
      </c>
      <c r="F14" s="1" t="s">
        <v>65</v>
      </c>
      <c r="G14" s="1"/>
      <c r="H14" s="1" t="s">
        <v>14</v>
      </c>
      <c r="I14" s="1"/>
    </row>
    <row r="15" spans="1:9" ht="1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74</v>
      </c>
      <c r="F15" s="1" t="s">
        <v>75</v>
      </c>
      <c r="G15" s="1" t="s">
        <v>76</v>
      </c>
      <c r="H15" s="1" t="s">
        <v>14</v>
      </c>
      <c r="I15" s="1"/>
    </row>
    <row r="16" spans="1:9" ht="15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80</v>
      </c>
      <c r="F16" s="1" t="s">
        <v>75</v>
      </c>
      <c r="G16" s="1" t="s">
        <v>81</v>
      </c>
      <c r="H16" s="1" t="s">
        <v>14</v>
      </c>
      <c r="I16" s="1"/>
    </row>
    <row r="17" spans="1:9" ht="15">
      <c r="A17" s="1" t="s">
        <v>82</v>
      </c>
      <c r="B17" s="1" t="s">
        <v>83</v>
      </c>
      <c r="C17" s="1" t="s">
        <v>84</v>
      </c>
      <c r="D17" s="1" t="s">
        <v>85</v>
      </c>
      <c r="E17" s="1" t="s">
        <v>85</v>
      </c>
      <c r="F17" s="1" t="s">
        <v>86</v>
      </c>
      <c r="G17" s="1" t="s">
        <v>87</v>
      </c>
      <c r="H17" s="1" t="s">
        <v>14</v>
      </c>
      <c r="I17" s="1"/>
    </row>
    <row r="18" spans="1:9" ht="1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91</v>
      </c>
      <c r="F18" s="1" t="s">
        <v>86</v>
      </c>
      <c r="G18" s="1"/>
      <c r="H18" s="1" t="s">
        <v>14</v>
      </c>
      <c r="I18" s="1"/>
    </row>
    <row r="19" spans="1:9" ht="15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95</v>
      </c>
      <c r="F19" s="1" t="s">
        <v>96</v>
      </c>
      <c r="G19" s="1"/>
      <c r="H19" s="1" t="s">
        <v>14</v>
      </c>
      <c r="I19" s="1"/>
    </row>
    <row r="20" spans="1:9" ht="15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100</v>
      </c>
      <c r="F20" s="1" t="s">
        <v>101</v>
      </c>
      <c r="G20" s="1"/>
      <c r="H20" s="1" t="s">
        <v>29</v>
      </c>
      <c r="I20" s="1"/>
    </row>
    <row r="21" spans="1:9" ht="15">
      <c r="A21" s="1" t="s">
        <v>102</v>
      </c>
      <c r="B21" s="1" t="s">
        <v>103</v>
      </c>
      <c r="C21" s="1" t="s">
        <v>104</v>
      </c>
      <c r="D21" s="1" t="s">
        <v>105</v>
      </c>
      <c r="E21" s="1" t="s">
        <v>105</v>
      </c>
      <c r="F21" s="1" t="s">
        <v>106</v>
      </c>
      <c r="G21" s="1" t="s">
        <v>107</v>
      </c>
      <c r="H21" s="1" t="s">
        <v>29</v>
      </c>
      <c r="I21" s="1"/>
    </row>
    <row r="22" spans="1:9" ht="15">
      <c r="A22" s="1" t="s">
        <v>108</v>
      </c>
      <c r="B22" s="1" t="s">
        <v>109</v>
      </c>
      <c r="C22" s="1" t="s">
        <v>110</v>
      </c>
      <c r="D22" s="1" t="s">
        <v>111</v>
      </c>
      <c r="E22" s="1" t="s">
        <v>111</v>
      </c>
      <c r="F22" s="1" t="s">
        <v>106</v>
      </c>
      <c r="G22" s="1"/>
      <c r="H22" s="1" t="s">
        <v>29</v>
      </c>
      <c r="I22" s="1"/>
    </row>
    <row r="23" spans="1:9" ht="15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115</v>
      </c>
      <c r="F23" s="1" t="s">
        <v>116</v>
      </c>
      <c r="G23" s="1"/>
      <c r="H23" s="1" t="s">
        <v>29</v>
      </c>
      <c r="I2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20" workbookViewId="0">
      <selection activeCell="D34" sqref="D34"/>
    </sheetView>
  </sheetViews>
  <sheetFormatPr defaultRowHeight="14.45"/>
  <cols>
    <col min="2" max="2" width="19.42578125" customWidth="1"/>
    <col min="3" max="3" width="18.42578125" customWidth="1"/>
    <col min="4" max="4" width="31.85546875" customWidth="1"/>
    <col min="5" max="5" width="38.28515625" customWidth="1"/>
  </cols>
  <sheetData>
    <row r="1" spans="1:5" ht="15">
      <c r="A1" s="2" t="s">
        <v>117</v>
      </c>
      <c r="B1" s="2" t="s">
        <v>118</v>
      </c>
      <c r="C1" s="2" t="s">
        <v>119</v>
      </c>
      <c r="D1" s="2" t="s">
        <v>0</v>
      </c>
      <c r="E1" s="2" t="s">
        <v>120</v>
      </c>
    </row>
    <row r="2" spans="1:5" ht="15">
      <c r="A2" s="3">
        <v>1</v>
      </c>
      <c r="B2" s="3">
        <v>0</v>
      </c>
      <c r="C2" s="3">
        <v>10</v>
      </c>
      <c r="D2" s="3" t="s">
        <v>9</v>
      </c>
      <c r="E2" s="3" t="s">
        <v>11</v>
      </c>
    </row>
    <row r="3" spans="1:5" ht="15">
      <c r="A3" s="3">
        <v>1</v>
      </c>
      <c r="B3" s="3">
        <v>25</v>
      </c>
      <c r="C3" s="3">
        <v>46</v>
      </c>
      <c r="D3" s="3" t="s">
        <v>19</v>
      </c>
      <c r="E3" s="3" t="s">
        <v>21</v>
      </c>
    </row>
    <row r="4" spans="1:5" ht="15">
      <c r="A4" s="3">
        <v>1</v>
      </c>
      <c r="B4" s="3">
        <v>50</v>
      </c>
      <c r="C4" s="3">
        <v>60</v>
      </c>
      <c r="D4" s="3" t="s">
        <v>53</v>
      </c>
      <c r="E4" s="3" t="s">
        <v>55</v>
      </c>
    </row>
    <row r="5" spans="1:5" ht="15">
      <c r="A5" s="3">
        <v>2</v>
      </c>
      <c r="B5" s="3">
        <v>12</v>
      </c>
      <c r="C5" s="3">
        <v>23</v>
      </c>
      <c r="D5" s="3" t="s">
        <v>9</v>
      </c>
      <c r="E5" s="3" t="s">
        <v>121</v>
      </c>
    </row>
    <row r="6" spans="1:5" ht="15">
      <c r="A6" s="3">
        <v>2</v>
      </c>
      <c r="B6" s="3">
        <v>29</v>
      </c>
      <c r="C6" s="3">
        <v>31</v>
      </c>
      <c r="D6" s="3" t="s">
        <v>61</v>
      </c>
      <c r="E6" s="3" t="s">
        <v>63</v>
      </c>
    </row>
    <row r="7" spans="1:5" ht="15">
      <c r="A7" s="3">
        <v>2</v>
      </c>
      <c r="B7" s="3">
        <v>42</v>
      </c>
      <c r="C7" s="3">
        <v>60</v>
      </c>
      <c r="D7" s="3" t="s">
        <v>30</v>
      </c>
      <c r="E7" s="3" t="s">
        <v>32</v>
      </c>
    </row>
    <row r="8" spans="1:5" ht="15">
      <c r="A8" s="3">
        <v>2</v>
      </c>
      <c r="B8" s="3">
        <v>62</v>
      </c>
      <c r="C8" s="3">
        <v>67</v>
      </c>
      <c r="D8" s="3" t="s">
        <v>39</v>
      </c>
      <c r="E8" s="3" t="s">
        <v>41</v>
      </c>
    </row>
    <row r="9" spans="1:5" ht="15">
      <c r="A9" s="3">
        <v>2</v>
      </c>
      <c r="B9" s="3">
        <v>68</v>
      </c>
      <c r="C9" s="3">
        <v>74</v>
      </c>
      <c r="D9" s="3" t="s">
        <v>35</v>
      </c>
      <c r="E9" s="3" t="s">
        <v>37</v>
      </c>
    </row>
    <row r="10" spans="1:5" ht="15">
      <c r="A10" s="3">
        <v>3</v>
      </c>
      <c r="B10" s="3">
        <v>25</v>
      </c>
      <c r="C10" s="3">
        <v>42</v>
      </c>
      <c r="D10" s="3" t="s">
        <v>71</v>
      </c>
      <c r="E10" s="3" t="s">
        <v>73</v>
      </c>
    </row>
    <row r="11" spans="1:5" ht="15">
      <c r="A11" s="3">
        <v>3</v>
      </c>
      <c r="B11" s="3">
        <v>61</v>
      </c>
      <c r="C11" s="3">
        <v>82</v>
      </c>
      <c r="D11" s="3" t="s">
        <v>77</v>
      </c>
      <c r="E11" s="3" t="s">
        <v>79</v>
      </c>
    </row>
    <row r="12" spans="1:5" ht="15">
      <c r="A12" s="3">
        <v>4</v>
      </c>
      <c r="B12" s="3">
        <v>17</v>
      </c>
      <c r="C12" s="3">
        <v>26</v>
      </c>
      <c r="D12" s="3" t="s">
        <v>82</v>
      </c>
      <c r="E12" s="3" t="s">
        <v>84</v>
      </c>
    </row>
    <row r="13" spans="1:5" ht="15">
      <c r="A13" s="3">
        <v>4</v>
      </c>
      <c r="B13" s="3">
        <v>49</v>
      </c>
      <c r="C13" s="3">
        <v>59</v>
      </c>
      <c r="D13" s="3" t="s">
        <v>92</v>
      </c>
      <c r="E13" s="3" t="s">
        <v>94</v>
      </c>
    </row>
    <row r="14" spans="1:5" ht="15">
      <c r="A14" s="3">
        <v>4</v>
      </c>
      <c r="B14" s="3">
        <v>79</v>
      </c>
      <c r="C14" s="3">
        <v>89</v>
      </c>
      <c r="D14" s="3" t="s">
        <v>57</v>
      </c>
      <c r="E14" s="3" t="s">
        <v>59</v>
      </c>
    </row>
    <row r="15" spans="1:5" ht="15">
      <c r="A15" s="3">
        <v>5</v>
      </c>
      <c r="B15" s="3">
        <v>27</v>
      </c>
      <c r="C15" s="3">
        <v>38</v>
      </c>
      <c r="D15" s="3" t="s">
        <v>102</v>
      </c>
      <c r="E15" s="3" t="s">
        <v>104</v>
      </c>
    </row>
    <row r="16" spans="1:5" ht="15">
      <c r="A16" s="3">
        <v>5</v>
      </c>
      <c r="B16" s="3">
        <v>60</v>
      </c>
      <c r="C16" s="3">
        <v>71</v>
      </c>
      <c r="D16" s="3" t="s">
        <v>108</v>
      </c>
      <c r="E16" s="3" t="s">
        <v>110</v>
      </c>
    </row>
    <row r="17" spans="1:5" ht="15">
      <c r="A17" s="3">
        <v>6</v>
      </c>
      <c r="B17" s="3">
        <v>12</v>
      </c>
      <c r="C17" s="3">
        <v>24</v>
      </c>
      <c r="D17" s="3" t="s">
        <v>9</v>
      </c>
      <c r="E17" s="4" t="s">
        <v>122</v>
      </c>
    </row>
    <row r="18" spans="1:5" ht="15">
      <c r="A18" s="3">
        <v>6</v>
      </c>
      <c r="B18" s="3">
        <v>34</v>
      </c>
      <c r="C18" s="3">
        <v>48</v>
      </c>
      <c r="D18" s="3" t="s">
        <v>19</v>
      </c>
      <c r="E18" s="3" t="s">
        <v>123</v>
      </c>
    </row>
    <row r="19" spans="1:5" ht="15">
      <c r="A19" s="3">
        <v>6</v>
      </c>
      <c r="B19" s="3">
        <v>53</v>
      </c>
      <c r="C19" s="3">
        <v>62</v>
      </c>
      <c r="D19" s="3" t="s">
        <v>53</v>
      </c>
      <c r="E19" s="3" t="s">
        <v>124</v>
      </c>
    </row>
    <row r="20" spans="1:5" ht="15">
      <c r="A20" s="3">
        <v>7</v>
      </c>
      <c r="B20" s="3">
        <v>4</v>
      </c>
      <c r="C20" s="3">
        <v>17</v>
      </c>
      <c r="D20" s="3" t="s">
        <v>15</v>
      </c>
      <c r="E20" s="3" t="s">
        <v>125</v>
      </c>
    </row>
    <row r="21" spans="1:5" ht="15">
      <c r="A21" s="3">
        <v>7</v>
      </c>
      <c r="B21" s="3">
        <v>57</v>
      </c>
      <c r="C21" s="3">
        <v>80</v>
      </c>
      <c r="D21" s="3" t="s">
        <v>126</v>
      </c>
      <c r="E21" s="5" t="s">
        <v>127</v>
      </c>
    </row>
    <row r="22" spans="1:5" ht="15">
      <c r="A22" s="3">
        <v>7</v>
      </c>
      <c r="B22" s="3">
        <v>95</v>
      </c>
      <c r="C22" s="3">
        <v>106</v>
      </c>
      <c r="D22" s="3" t="s">
        <v>71</v>
      </c>
      <c r="E22" s="3">
        <v>912556789</v>
      </c>
    </row>
    <row r="23" spans="1:5" ht="15">
      <c r="A23" s="3">
        <v>8</v>
      </c>
      <c r="B23" s="3">
        <v>0</v>
      </c>
      <c r="C23" s="3">
        <v>15</v>
      </c>
      <c r="D23" s="3" t="s">
        <v>128</v>
      </c>
      <c r="E23" s="3" t="s">
        <v>129</v>
      </c>
    </row>
    <row r="24" spans="1:5" ht="15">
      <c r="A24" s="3">
        <v>8</v>
      </c>
      <c r="B24" s="3">
        <v>20</v>
      </c>
      <c r="C24" s="3">
        <v>21</v>
      </c>
      <c r="D24" s="3" t="s">
        <v>61</v>
      </c>
      <c r="E24" s="3">
        <v>52</v>
      </c>
    </row>
    <row r="25" spans="1:5" ht="15">
      <c r="A25" s="3">
        <v>8</v>
      </c>
      <c r="B25" s="3">
        <v>41</v>
      </c>
      <c r="C25" s="3">
        <v>62</v>
      </c>
      <c r="D25" s="3" t="s">
        <v>19</v>
      </c>
      <c r="E25" s="3" t="s">
        <v>130</v>
      </c>
    </row>
    <row r="26" spans="1:5" ht="15">
      <c r="A26" s="3">
        <v>8</v>
      </c>
      <c r="B26" s="3">
        <v>67</v>
      </c>
      <c r="C26" s="3">
        <v>76</v>
      </c>
      <c r="D26" s="3" t="s">
        <v>131</v>
      </c>
      <c r="E26" s="3" t="s">
        <v>132</v>
      </c>
    </row>
    <row r="27" spans="1:5" ht="15">
      <c r="A27" s="3">
        <v>9</v>
      </c>
      <c r="B27" s="3">
        <v>36</v>
      </c>
      <c r="C27" s="3">
        <v>50</v>
      </c>
      <c r="D27" s="3" t="s">
        <v>30</v>
      </c>
      <c r="E27" s="3" t="s">
        <v>133</v>
      </c>
    </row>
    <row r="28" spans="1:5" ht="15">
      <c r="A28" s="3">
        <v>9</v>
      </c>
      <c r="B28" s="3">
        <v>53</v>
      </c>
      <c r="C28" s="3">
        <v>57</v>
      </c>
      <c r="D28" s="3" t="s">
        <v>39</v>
      </c>
      <c r="E28" s="3">
        <v>28027</v>
      </c>
    </row>
    <row r="29" spans="1:5" ht="15">
      <c r="A29" s="3">
        <v>9</v>
      </c>
      <c r="B29" s="3">
        <v>59</v>
      </c>
      <c r="C29" s="3">
        <v>64</v>
      </c>
      <c r="D29" s="3" t="s">
        <v>35</v>
      </c>
      <c r="E29" s="3" t="s">
        <v>37</v>
      </c>
    </row>
    <row r="30" spans="1:5" ht="15">
      <c r="A30" s="3">
        <v>10</v>
      </c>
      <c r="B30" s="3">
        <v>23</v>
      </c>
      <c r="C30" s="3">
        <v>30</v>
      </c>
      <c r="D30" s="3" t="s">
        <v>88</v>
      </c>
      <c r="E30" s="3" t="s">
        <v>134</v>
      </c>
    </row>
    <row r="31" spans="1:5" ht="15">
      <c r="A31" s="3">
        <v>11</v>
      </c>
      <c r="B31" s="3">
        <v>32</v>
      </c>
      <c r="C31" s="3">
        <v>40</v>
      </c>
      <c r="D31" s="3" t="s">
        <v>102</v>
      </c>
      <c r="E31" s="3" t="s">
        <v>135</v>
      </c>
    </row>
    <row r="32" spans="1:5" ht="15">
      <c r="A32" s="3">
        <v>11</v>
      </c>
      <c r="B32" s="3">
        <v>62</v>
      </c>
      <c r="C32" s="3">
        <v>72</v>
      </c>
      <c r="D32" s="3" t="s">
        <v>108</v>
      </c>
      <c r="E32" s="3" t="s">
        <v>136</v>
      </c>
    </row>
    <row r="33" spans="1:5" ht="15">
      <c r="A33" s="3">
        <v>12</v>
      </c>
      <c r="B33" s="3">
        <v>25</v>
      </c>
      <c r="C33" s="3">
        <v>49</v>
      </c>
      <c r="D33" s="3" t="s">
        <v>15</v>
      </c>
      <c r="E33" s="3" t="s">
        <v>137</v>
      </c>
    </row>
    <row r="34" spans="1:5" ht="15">
      <c r="A34" s="3">
        <v>12</v>
      </c>
      <c r="B34" s="3">
        <v>70</v>
      </c>
      <c r="C34" s="3">
        <v>79</v>
      </c>
      <c r="D34" s="3" t="s">
        <v>138</v>
      </c>
      <c r="E34" s="3" t="s">
        <v>139</v>
      </c>
    </row>
    <row r="35" spans="1:5" ht="15">
      <c r="A35" s="3">
        <v>13</v>
      </c>
      <c r="B35" s="3">
        <v>23</v>
      </c>
      <c r="C35" s="3">
        <v>32</v>
      </c>
      <c r="D35" s="3" t="s">
        <v>140</v>
      </c>
      <c r="E35" s="3" t="s">
        <v>141</v>
      </c>
    </row>
    <row r="36" spans="1:5" ht="15">
      <c r="A36" s="3">
        <v>13</v>
      </c>
      <c r="B36" s="3">
        <v>52</v>
      </c>
      <c r="C36" s="3">
        <v>61</v>
      </c>
      <c r="D36" s="3" t="s">
        <v>142</v>
      </c>
      <c r="E36" s="6">
        <v>46084</v>
      </c>
    </row>
    <row r="37" spans="1:5" ht="15">
      <c r="A37" s="3">
        <v>14</v>
      </c>
      <c r="B37" s="3">
        <v>33</v>
      </c>
      <c r="C37" s="3">
        <v>48</v>
      </c>
      <c r="D37" s="3" t="s">
        <v>71</v>
      </c>
      <c r="E37" s="3" t="s">
        <v>143</v>
      </c>
    </row>
    <row r="38" spans="1:5" ht="15">
      <c r="A38" s="3">
        <v>14</v>
      </c>
      <c r="B38" s="3">
        <v>70</v>
      </c>
      <c r="C38" s="3">
        <v>95</v>
      </c>
      <c r="D38" s="3" t="s">
        <v>77</v>
      </c>
      <c r="E38" s="5" t="s">
        <v>144</v>
      </c>
    </row>
    <row r="39" spans="1:5" ht="15">
      <c r="A39" s="3">
        <v>15</v>
      </c>
      <c r="B39" s="3">
        <v>12</v>
      </c>
      <c r="C39" s="3">
        <v>21</v>
      </c>
      <c r="D39" s="3" t="s">
        <v>9</v>
      </c>
      <c r="E39" s="3" t="s">
        <v>145</v>
      </c>
    </row>
    <row r="40" spans="1:5" ht="15">
      <c r="A40" s="3">
        <v>15</v>
      </c>
      <c r="B40" s="3">
        <v>33</v>
      </c>
      <c r="C40" s="3">
        <v>42</v>
      </c>
      <c r="D40" s="3" t="s">
        <v>146</v>
      </c>
      <c r="E40" s="6">
        <v>33091</v>
      </c>
    </row>
    <row r="41" spans="1:5" ht="15">
      <c r="A41" s="3">
        <v>16</v>
      </c>
      <c r="B41" s="3">
        <v>11</v>
      </c>
      <c r="C41" s="3">
        <v>31</v>
      </c>
      <c r="D41" s="3" t="s">
        <v>147</v>
      </c>
      <c r="E41" s="3" t="s">
        <v>148</v>
      </c>
    </row>
    <row r="42" spans="1:5" ht="15">
      <c r="A42" s="3">
        <v>16</v>
      </c>
      <c r="B42" s="3">
        <v>53</v>
      </c>
      <c r="C42" s="3">
        <v>62</v>
      </c>
      <c r="D42" s="3" t="s">
        <v>149</v>
      </c>
      <c r="E42" s="6">
        <v>45782</v>
      </c>
    </row>
  </sheetData>
  <hyperlinks>
    <hyperlink ref="E21" r:id="rId1" xr:uid="{E5EDCDF7-0687-4D30-A929-89D49E71F247}"/>
    <hyperlink ref="E38" r:id="rId2" xr:uid="{49973B8E-BB0D-4A34-B50D-CA1D44315553}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pane xSplit="1" topLeftCell="B1" activePane="topRight" state="frozen"/>
      <selection pane="topRight" sqref="A1:B17"/>
    </sheetView>
  </sheetViews>
  <sheetFormatPr defaultRowHeight="14.45"/>
  <cols>
    <col min="2" max="2" width="83.85546875" bestFit="1" customWidth="1"/>
  </cols>
  <sheetData>
    <row r="1" spans="1:2" ht="15">
      <c r="A1" s="2" t="s">
        <v>117</v>
      </c>
      <c r="B1" s="2" t="s">
        <v>120</v>
      </c>
    </row>
    <row r="2" spans="1:2" ht="15">
      <c r="A2" s="1">
        <v>1</v>
      </c>
      <c r="B2" s="1" t="s">
        <v>150</v>
      </c>
    </row>
    <row r="3" spans="1:2" ht="15">
      <c r="A3" s="1">
        <v>2</v>
      </c>
      <c r="B3" s="1" t="s">
        <v>151</v>
      </c>
    </row>
    <row r="4" spans="1:2" ht="15">
      <c r="A4" s="1">
        <v>3</v>
      </c>
      <c r="B4" s="1" t="s">
        <v>152</v>
      </c>
    </row>
    <row r="5" spans="1:2" ht="15">
      <c r="A5" s="1">
        <v>4</v>
      </c>
      <c r="B5" s="1" t="s">
        <v>153</v>
      </c>
    </row>
    <row r="6" spans="1:2" ht="15">
      <c r="A6" s="1">
        <v>5</v>
      </c>
      <c r="B6" s="1" t="s">
        <v>154</v>
      </c>
    </row>
    <row r="7" spans="1:2" ht="15">
      <c r="A7" s="1">
        <v>6</v>
      </c>
      <c r="B7" s="1" t="s">
        <v>155</v>
      </c>
    </row>
    <row r="8" spans="1:2" ht="30.75">
      <c r="A8" s="1">
        <v>7</v>
      </c>
      <c r="B8" s="7" t="s">
        <v>156</v>
      </c>
    </row>
    <row r="9" spans="1:2" ht="15">
      <c r="A9" s="1">
        <v>8</v>
      </c>
      <c r="B9" s="1" t="s">
        <v>157</v>
      </c>
    </row>
    <row r="10" spans="1:2" ht="15">
      <c r="A10" s="1">
        <v>9</v>
      </c>
      <c r="B10" s="1" t="s">
        <v>158</v>
      </c>
    </row>
    <row r="11" spans="1:2" ht="15">
      <c r="A11" s="1">
        <v>10</v>
      </c>
      <c r="B11" s="1" t="s">
        <v>159</v>
      </c>
    </row>
    <row r="12" spans="1:2" ht="15">
      <c r="A12" s="1">
        <v>11</v>
      </c>
      <c r="B12" s="1" t="s">
        <v>160</v>
      </c>
    </row>
    <row r="13" spans="1:2" ht="15">
      <c r="A13" s="1">
        <v>12</v>
      </c>
      <c r="B13" s="1" t="s">
        <v>161</v>
      </c>
    </row>
    <row r="14" spans="1:2" ht="15">
      <c r="A14" s="1">
        <v>13</v>
      </c>
      <c r="B14" s="1" t="s">
        <v>162</v>
      </c>
    </row>
    <row r="15" spans="1:2" ht="15">
      <c r="A15" s="1">
        <v>14</v>
      </c>
      <c r="B15" s="1" t="s">
        <v>163</v>
      </c>
    </row>
    <row r="16" spans="1:2" ht="15">
      <c r="A16" s="1">
        <v>15</v>
      </c>
      <c r="B16" s="1" t="s">
        <v>164</v>
      </c>
    </row>
    <row r="17" spans="1:2" ht="15">
      <c r="A17" s="1">
        <v>16</v>
      </c>
      <c r="B17" s="1" t="s">
        <v>165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560A-7826-48CE-BFF8-7436B7BBAAF4}">
  <dimension ref="A1:F42"/>
  <sheetViews>
    <sheetView topLeftCell="A2" workbookViewId="0">
      <pane xSplit="1" topLeftCell="P20" activePane="topRight" state="frozen"/>
      <selection pane="topRight" sqref="A1:F42"/>
    </sheetView>
  </sheetViews>
  <sheetFormatPr defaultRowHeight="14.45"/>
  <cols>
    <col min="2" max="2" width="31.42578125" customWidth="1"/>
    <col min="3" max="3" width="27" customWidth="1"/>
    <col min="5" max="5" width="27.85546875" customWidth="1"/>
    <col min="6" max="6" width="13.5703125" customWidth="1"/>
  </cols>
  <sheetData>
    <row r="1" spans="1:6" ht="15">
      <c r="A1" s="2" t="s">
        <v>117</v>
      </c>
      <c r="B1" s="2" t="s">
        <v>166</v>
      </c>
      <c r="C1" s="2" t="s">
        <v>167</v>
      </c>
      <c r="D1" s="2" t="s">
        <v>168</v>
      </c>
      <c r="E1" s="2" t="s">
        <v>169</v>
      </c>
      <c r="F1" s="2" t="s">
        <v>8</v>
      </c>
    </row>
    <row r="2" spans="1:6" ht="15">
      <c r="A2" s="8">
        <v>1</v>
      </c>
      <c r="B2" s="8" t="s">
        <v>9</v>
      </c>
      <c r="C2" s="8" t="s">
        <v>9</v>
      </c>
      <c r="D2" s="8" t="s">
        <v>170</v>
      </c>
      <c r="E2" s="8" t="s">
        <v>171</v>
      </c>
      <c r="F2" s="3"/>
    </row>
    <row r="3" spans="1:6" ht="15">
      <c r="A3" s="9">
        <v>1</v>
      </c>
      <c r="B3" s="9" t="s">
        <v>19</v>
      </c>
      <c r="C3" s="9" t="s">
        <v>172</v>
      </c>
      <c r="D3" s="9" t="s">
        <v>173</v>
      </c>
      <c r="E3" s="9" t="s">
        <v>174</v>
      </c>
      <c r="F3" s="3"/>
    </row>
    <row r="4" spans="1:6" ht="15">
      <c r="A4" s="8">
        <v>1</v>
      </c>
      <c r="B4" s="8" t="s">
        <v>149</v>
      </c>
      <c r="C4" s="8" t="s">
        <v>149</v>
      </c>
      <c r="D4" s="8" t="s">
        <v>170</v>
      </c>
      <c r="E4" s="8" t="s">
        <v>171</v>
      </c>
      <c r="F4" s="3"/>
    </row>
    <row r="5" spans="1:6" ht="15">
      <c r="A5" s="3">
        <v>2</v>
      </c>
      <c r="B5" s="3" t="s">
        <v>9</v>
      </c>
      <c r="C5" s="3" t="s">
        <v>9</v>
      </c>
      <c r="D5" s="8" t="s">
        <v>170</v>
      </c>
      <c r="E5" s="8" t="s">
        <v>171</v>
      </c>
      <c r="F5" s="3"/>
    </row>
    <row r="6" spans="1:6" ht="15">
      <c r="A6" s="3">
        <v>2</v>
      </c>
      <c r="B6" s="3" t="s">
        <v>61</v>
      </c>
      <c r="C6" s="3" t="s">
        <v>61</v>
      </c>
      <c r="D6" s="8" t="s">
        <v>170</v>
      </c>
      <c r="E6" s="8" t="s">
        <v>171</v>
      </c>
      <c r="F6" s="3"/>
    </row>
    <row r="7" spans="1:6" ht="15">
      <c r="A7" s="3">
        <v>2</v>
      </c>
      <c r="B7" s="3" t="s">
        <v>30</v>
      </c>
      <c r="C7" s="3" t="s">
        <v>30</v>
      </c>
      <c r="D7" s="8" t="s">
        <v>170</v>
      </c>
      <c r="E7" s="8" t="s">
        <v>171</v>
      </c>
      <c r="F7" s="3"/>
    </row>
    <row r="8" spans="1:6" ht="15">
      <c r="A8" s="3">
        <v>2</v>
      </c>
      <c r="B8" s="3" t="s">
        <v>39</v>
      </c>
      <c r="C8" s="3" t="s">
        <v>39</v>
      </c>
      <c r="D8" s="8" t="s">
        <v>170</v>
      </c>
      <c r="E8" s="8" t="s">
        <v>171</v>
      </c>
      <c r="F8" s="3"/>
    </row>
    <row r="9" spans="1:6" ht="15">
      <c r="A9" s="3">
        <v>2</v>
      </c>
      <c r="B9" s="3" t="s">
        <v>35</v>
      </c>
      <c r="C9" s="3" t="s">
        <v>35</v>
      </c>
      <c r="D9" s="8" t="s">
        <v>170</v>
      </c>
      <c r="E9" s="8" t="s">
        <v>171</v>
      </c>
      <c r="F9" s="3"/>
    </row>
    <row r="10" spans="1:6" ht="15">
      <c r="A10" s="3">
        <v>3</v>
      </c>
      <c r="B10" s="3" t="s">
        <v>71</v>
      </c>
      <c r="C10" s="3" t="s">
        <v>71</v>
      </c>
      <c r="D10" s="8" t="s">
        <v>170</v>
      </c>
      <c r="E10" s="8" t="s">
        <v>171</v>
      </c>
      <c r="F10" s="3"/>
    </row>
    <row r="11" spans="1:6" ht="15">
      <c r="A11" s="3">
        <v>3</v>
      </c>
      <c r="B11" s="3" t="s">
        <v>77</v>
      </c>
      <c r="C11" s="3" t="s">
        <v>77</v>
      </c>
      <c r="D11" s="8" t="s">
        <v>170</v>
      </c>
      <c r="E11" s="8" t="s">
        <v>171</v>
      </c>
      <c r="F11" s="3"/>
    </row>
    <row r="12" spans="1:6" ht="15">
      <c r="A12" s="3">
        <v>4</v>
      </c>
      <c r="B12" s="3" t="s">
        <v>82</v>
      </c>
      <c r="C12" s="3" t="s">
        <v>82</v>
      </c>
      <c r="D12" s="8" t="s">
        <v>170</v>
      </c>
      <c r="E12" s="8" t="s">
        <v>171</v>
      </c>
      <c r="F12" s="3"/>
    </row>
    <row r="13" spans="1:6" ht="15">
      <c r="A13" s="3">
        <v>4</v>
      </c>
      <c r="B13" s="3" t="s">
        <v>92</v>
      </c>
      <c r="C13" s="3" t="s">
        <v>92</v>
      </c>
      <c r="D13" s="8" t="s">
        <v>170</v>
      </c>
      <c r="E13" s="8" t="s">
        <v>171</v>
      </c>
      <c r="F13" s="3"/>
    </row>
    <row r="14" spans="1:6" ht="15">
      <c r="A14" s="3">
        <v>4</v>
      </c>
      <c r="B14" s="3" t="s">
        <v>57</v>
      </c>
      <c r="C14" s="3" t="s">
        <v>57</v>
      </c>
      <c r="D14" s="8" t="s">
        <v>170</v>
      </c>
      <c r="E14" s="8" t="s">
        <v>171</v>
      </c>
      <c r="F14" s="3"/>
    </row>
    <row r="15" spans="1:6" ht="15">
      <c r="A15" s="3">
        <v>5</v>
      </c>
      <c r="B15" s="3" t="s">
        <v>102</v>
      </c>
      <c r="C15" s="3" t="s">
        <v>102</v>
      </c>
      <c r="D15" s="8" t="s">
        <v>170</v>
      </c>
      <c r="E15" s="8" t="s">
        <v>171</v>
      </c>
      <c r="F15" s="3"/>
    </row>
    <row r="16" spans="1:6" ht="15">
      <c r="A16" s="3">
        <v>5</v>
      </c>
      <c r="B16" s="3" t="s">
        <v>108</v>
      </c>
      <c r="C16" s="3" t="s">
        <v>108</v>
      </c>
      <c r="D16" s="8" t="s">
        <v>170</v>
      </c>
      <c r="E16" s="8" t="s">
        <v>171</v>
      </c>
      <c r="F16" s="3"/>
    </row>
    <row r="17" spans="1:6" ht="15">
      <c r="A17" s="3">
        <v>6</v>
      </c>
      <c r="B17" s="3" t="s">
        <v>9</v>
      </c>
      <c r="C17" s="3" t="s">
        <v>9</v>
      </c>
      <c r="D17" s="8" t="s">
        <v>170</v>
      </c>
      <c r="E17" s="8" t="s">
        <v>171</v>
      </c>
      <c r="F17" s="3"/>
    </row>
    <row r="18" spans="1:6" ht="15">
      <c r="A18" s="3">
        <v>6</v>
      </c>
      <c r="B18" s="3" t="s">
        <v>19</v>
      </c>
      <c r="C18" s="3" t="s">
        <v>19</v>
      </c>
      <c r="D18" s="8" t="s">
        <v>170</v>
      </c>
      <c r="E18" s="8" t="s">
        <v>171</v>
      </c>
      <c r="F18" s="3"/>
    </row>
    <row r="19" spans="1:6" ht="15">
      <c r="A19" s="3">
        <v>6</v>
      </c>
      <c r="B19" s="3" t="s">
        <v>53</v>
      </c>
      <c r="C19" s="3" t="s">
        <v>53</v>
      </c>
      <c r="D19" s="8" t="s">
        <v>170</v>
      </c>
      <c r="E19" s="8" t="s">
        <v>171</v>
      </c>
      <c r="F19" s="3"/>
    </row>
    <row r="20" spans="1:6" ht="15">
      <c r="A20" s="3">
        <v>7</v>
      </c>
      <c r="B20" s="3" t="s">
        <v>15</v>
      </c>
      <c r="C20" s="3" t="s">
        <v>15</v>
      </c>
      <c r="D20" s="8" t="s">
        <v>170</v>
      </c>
      <c r="E20" s="8" t="s">
        <v>171</v>
      </c>
      <c r="F20" s="3"/>
    </row>
    <row r="21" spans="1:6" ht="15">
      <c r="A21" s="3">
        <v>7</v>
      </c>
      <c r="B21" s="3" t="s">
        <v>126</v>
      </c>
      <c r="C21" s="3" t="s">
        <v>126</v>
      </c>
      <c r="D21" s="8" t="s">
        <v>170</v>
      </c>
      <c r="E21" s="8" t="s">
        <v>171</v>
      </c>
      <c r="F21" s="3"/>
    </row>
    <row r="22" spans="1:6" ht="15">
      <c r="A22" s="3">
        <v>7</v>
      </c>
      <c r="B22" s="3" t="s">
        <v>71</v>
      </c>
      <c r="C22" s="3" t="s">
        <v>71</v>
      </c>
      <c r="D22" s="8" t="s">
        <v>170</v>
      </c>
      <c r="E22" s="8" t="s">
        <v>171</v>
      </c>
      <c r="F22" s="3"/>
    </row>
    <row r="23" spans="1:6" ht="15">
      <c r="A23" s="3">
        <v>8</v>
      </c>
      <c r="B23" s="3" t="s">
        <v>128</v>
      </c>
      <c r="C23" s="3" t="s">
        <v>128</v>
      </c>
      <c r="D23" s="8" t="s">
        <v>170</v>
      </c>
      <c r="E23" s="8" t="s">
        <v>171</v>
      </c>
      <c r="F23" s="3"/>
    </row>
    <row r="24" spans="1:6" ht="15">
      <c r="A24" s="3">
        <v>8</v>
      </c>
      <c r="B24" s="3" t="s">
        <v>61</v>
      </c>
      <c r="C24" s="3" t="s">
        <v>61</v>
      </c>
      <c r="D24" s="8" t="s">
        <v>170</v>
      </c>
      <c r="E24" s="8" t="s">
        <v>171</v>
      </c>
      <c r="F24" s="3"/>
    </row>
    <row r="25" spans="1:6" ht="15">
      <c r="A25" s="3">
        <v>8</v>
      </c>
      <c r="B25" s="3" t="s">
        <v>19</v>
      </c>
      <c r="C25" s="3" t="s">
        <v>19</v>
      </c>
      <c r="D25" s="8" t="s">
        <v>170</v>
      </c>
      <c r="E25" s="8" t="s">
        <v>171</v>
      </c>
      <c r="F25" s="3"/>
    </row>
    <row r="26" spans="1:6" ht="15">
      <c r="A26" s="3">
        <v>8</v>
      </c>
      <c r="B26" s="3" t="s">
        <v>131</v>
      </c>
      <c r="C26" s="3" t="s">
        <v>131</v>
      </c>
      <c r="D26" s="8" t="s">
        <v>170</v>
      </c>
      <c r="E26" s="8" t="s">
        <v>171</v>
      </c>
      <c r="F26" s="3"/>
    </row>
    <row r="27" spans="1:6" ht="15">
      <c r="A27" s="3">
        <v>9</v>
      </c>
      <c r="B27" s="3" t="s">
        <v>30</v>
      </c>
      <c r="C27" s="3" t="s">
        <v>30</v>
      </c>
      <c r="D27" s="8" t="s">
        <v>170</v>
      </c>
      <c r="E27" s="8" t="s">
        <v>171</v>
      </c>
      <c r="F27" s="3"/>
    </row>
    <row r="28" spans="1:6" ht="15">
      <c r="A28" s="3">
        <v>9</v>
      </c>
      <c r="B28" s="3" t="s">
        <v>39</v>
      </c>
      <c r="C28" s="3" t="s">
        <v>39</v>
      </c>
      <c r="D28" s="8" t="s">
        <v>170</v>
      </c>
      <c r="E28" s="8" t="s">
        <v>171</v>
      </c>
      <c r="F28" s="3"/>
    </row>
    <row r="29" spans="1:6" ht="15">
      <c r="A29" s="3">
        <v>9</v>
      </c>
      <c r="B29" s="3" t="s">
        <v>35</v>
      </c>
      <c r="C29" s="3" t="s">
        <v>35</v>
      </c>
      <c r="D29" s="8" t="s">
        <v>170</v>
      </c>
      <c r="E29" s="8" t="s">
        <v>171</v>
      </c>
      <c r="F29" s="3"/>
    </row>
    <row r="30" spans="1:6" ht="15">
      <c r="A30" s="3">
        <v>10</v>
      </c>
      <c r="B30" s="3" t="s">
        <v>88</v>
      </c>
      <c r="C30" s="3" t="s">
        <v>88</v>
      </c>
      <c r="D30" s="8" t="s">
        <v>170</v>
      </c>
      <c r="E30" s="8" t="s">
        <v>171</v>
      </c>
      <c r="F30" s="3"/>
    </row>
    <row r="31" spans="1:6" ht="15">
      <c r="A31" s="3">
        <v>11</v>
      </c>
      <c r="B31" s="3" t="s">
        <v>102</v>
      </c>
      <c r="C31" s="3" t="s">
        <v>102</v>
      </c>
      <c r="D31" s="8" t="s">
        <v>170</v>
      </c>
      <c r="E31" s="8" t="s">
        <v>171</v>
      </c>
      <c r="F31" s="3"/>
    </row>
    <row r="32" spans="1:6" ht="15">
      <c r="A32" s="3">
        <v>11</v>
      </c>
      <c r="B32" s="3" t="s">
        <v>108</v>
      </c>
      <c r="C32" s="3" t="s">
        <v>108</v>
      </c>
      <c r="D32" s="8" t="s">
        <v>170</v>
      </c>
      <c r="E32" s="8" t="s">
        <v>171</v>
      </c>
      <c r="F32" s="3"/>
    </row>
    <row r="33" spans="1:6" ht="15">
      <c r="A33" s="3">
        <v>12</v>
      </c>
      <c r="B33" s="3" t="s">
        <v>15</v>
      </c>
      <c r="C33" s="3" t="s">
        <v>15</v>
      </c>
      <c r="D33" s="8" t="s">
        <v>170</v>
      </c>
      <c r="E33" s="8" t="s">
        <v>171</v>
      </c>
      <c r="F33" s="3"/>
    </row>
    <row r="34" spans="1:6" ht="15">
      <c r="A34" s="3">
        <v>12</v>
      </c>
      <c r="B34" s="3" t="s">
        <v>138</v>
      </c>
      <c r="C34" s="3" t="s">
        <v>138</v>
      </c>
      <c r="D34" s="8" t="s">
        <v>170</v>
      </c>
      <c r="E34" s="8" t="s">
        <v>171</v>
      </c>
      <c r="F34" s="3"/>
    </row>
    <row r="35" spans="1:6" ht="15">
      <c r="A35" s="3">
        <v>13</v>
      </c>
      <c r="B35" s="3" t="s">
        <v>140</v>
      </c>
      <c r="C35" s="3" t="s">
        <v>140</v>
      </c>
      <c r="D35" s="8" t="s">
        <v>170</v>
      </c>
      <c r="E35" s="8" t="s">
        <v>171</v>
      </c>
      <c r="F35" s="3"/>
    </row>
    <row r="36" spans="1:6" ht="15">
      <c r="A36" s="3">
        <v>13</v>
      </c>
      <c r="B36" s="3" t="s">
        <v>142</v>
      </c>
      <c r="C36" s="3" t="s">
        <v>142</v>
      </c>
      <c r="D36" s="8" t="s">
        <v>170</v>
      </c>
      <c r="E36" s="8" t="s">
        <v>171</v>
      </c>
      <c r="F36" s="3"/>
    </row>
    <row r="37" spans="1:6" ht="15">
      <c r="A37" s="3">
        <v>14</v>
      </c>
      <c r="B37" s="3" t="s">
        <v>71</v>
      </c>
      <c r="C37" s="3" t="s">
        <v>71</v>
      </c>
      <c r="D37" s="8" t="s">
        <v>170</v>
      </c>
      <c r="E37" s="8" t="s">
        <v>171</v>
      </c>
      <c r="F37" s="3"/>
    </row>
    <row r="38" spans="1:6" ht="15">
      <c r="A38" s="3">
        <v>14</v>
      </c>
      <c r="B38" s="3" t="s">
        <v>77</v>
      </c>
      <c r="C38" s="3" t="s">
        <v>77</v>
      </c>
      <c r="D38" s="8" t="s">
        <v>170</v>
      </c>
      <c r="E38" s="8" t="s">
        <v>171</v>
      </c>
      <c r="F38" s="3"/>
    </row>
    <row r="39" spans="1:6" ht="15">
      <c r="A39" s="3">
        <v>15</v>
      </c>
      <c r="B39" s="3" t="s">
        <v>9</v>
      </c>
      <c r="C39" s="3" t="s">
        <v>9</v>
      </c>
      <c r="D39" s="8" t="s">
        <v>170</v>
      </c>
      <c r="E39" s="8" t="s">
        <v>171</v>
      </c>
      <c r="F39" s="3"/>
    </row>
    <row r="40" spans="1:6" ht="15">
      <c r="A40" s="3">
        <v>15</v>
      </c>
      <c r="B40" s="3" t="s">
        <v>146</v>
      </c>
      <c r="C40" s="3" t="s">
        <v>146</v>
      </c>
      <c r="D40" s="8" t="s">
        <v>170</v>
      </c>
      <c r="E40" s="8" t="s">
        <v>171</v>
      </c>
      <c r="F40" s="3"/>
    </row>
    <row r="41" spans="1:6" ht="15">
      <c r="A41" s="3">
        <v>16</v>
      </c>
      <c r="B41" s="3" t="s">
        <v>147</v>
      </c>
      <c r="C41" s="3" t="s">
        <v>147</v>
      </c>
      <c r="D41" s="8" t="s">
        <v>170</v>
      </c>
      <c r="E41" s="8" t="s">
        <v>171</v>
      </c>
      <c r="F41" s="3"/>
    </row>
    <row r="42" spans="1:6" ht="15">
      <c r="A42" s="3">
        <v>16</v>
      </c>
      <c r="B42" s="3" t="s">
        <v>149</v>
      </c>
      <c r="C42" s="3" t="s">
        <v>149</v>
      </c>
      <c r="D42" s="8" t="s">
        <v>170</v>
      </c>
      <c r="E42" s="8" t="s">
        <v>171</v>
      </c>
      <c r="F42" s="3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abSelected="1" topLeftCell="A19" workbookViewId="0">
      <selection activeCell="H25" sqref="H25"/>
    </sheetView>
  </sheetViews>
  <sheetFormatPr defaultRowHeight="14.45"/>
  <cols>
    <col min="2" max="2" width="11.85546875" customWidth="1"/>
    <col min="3" max="3" width="10.85546875" customWidth="1"/>
    <col min="4" max="4" width="18.85546875" customWidth="1"/>
    <col min="5" max="5" width="22.42578125" customWidth="1"/>
    <col min="6" max="6" width="9.85546875" bestFit="1" customWidth="1"/>
  </cols>
  <sheetData>
    <row r="1" spans="1:6" ht="15">
      <c r="A1" s="2" t="s">
        <v>117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</row>
    <row r="2" spans="1:6" ht="15">
      <c r="A2" s="1">
        <v>1</v>
      </c>
      <c r="B2" s="1">
        <v>0</v>
      </c>
      <c r="C2" s="1">
        <v>10</v>
      </c>
      <c r="D2" s="1" t="s">
        <v>9</v>
      </c>
      <c r="E2" s="1" t="s">
        <v>11</v>
      </c>
      <c r="F2" s="1">
        <v>0.98</v>
      </c>
    </row>
    <row r="3" spans="1:6" ht="15">
      <c r="A3" s="1">
        <v>1</v>
      </c>
      <c r="B3" s="1">
        <v>25</v>
      </c>
      <c r="C3" s="1">
        <v>46</v>
      </c>
      <c r="D3" s="1" t="s">
        <v>19</v>
      </c>
      <c r="E3" s="1" t="s">
        <v>21</v>
      </c>
      <c r="F3" s="1">
        <v>0.95</v>
      </c>
    </row>
    <row r="4" spans="1:6" ht="15">
      <c r="A4" s="1">
        <v>1</v>
      </c>
      <c r="B4" s="1">
        <v>50</v>
      </c>
      <c r="C4" s="1">
        <v>60</v>
      </c>
      <c r="D4" s="1" t="s">
        <v>53</v>
      </c>
      <c r="E4" s="1" t="s">
        <v>55</v>
      </c>
      <c r="F4" s="1">
        <v>0.9</v>
      </c>
    </row>
    <row r="5" spans="1:6" ht="15">
      <c r="A5" s="1">
        <v>2</v>
      </c>
      <c r="B5" s="1">
        <v>12</v>
      </c>
      <c r="C5" s="1">
        <v>23</v>
      </c>
      <c r="D5" s="1" t="s">
        <v>9</v>
      </c>
      <c r="E5" s="1" t="s">
        <v>121</v>
      </c>
      <c r="F5" s="1">
        <v>0.97</v>
      </c>
    </row>
    <row r="6" spans="1:6" ht="15">
      <c r="A6" s="1">
        <v>2</v>
      </c>
      <c r="B6" s="1">
        <v>29</v>
      </c>
      <c r="C6" s="1">
        <v>31</v>
      </c>
      <c r="D6" s="1" t="s">
        <v>61</v>
      </c>
      <c r="E6" s="1" t="s">
        <v>63</v>
      </c>
      <c r="F6" s="1">
        <v>0.97</v>
      </c>
    </row>
    <row r="7" spans="1:6" ht="15">
      <c r="A7" s="1">
        <v>2</v>
      </c>
      <c r="B7" s="1">
        <v>42</v>
      </c>
      <c r="C7" s="1">
        <v>60</v>
      </c>
      <c r="D7" s="1" t="s">
        <v>30</v>
      </c>
      <c r="E7" s="1" t="s">
        <v>32</v>
      </c>
      <c r="F7" s="1">
        <v>0.97</v>
      </c>
    </row>
    <row r="8" spans="1:6" ht="15">
      <c r="A8" s="1">
        <v>2</v>
      </c>
      <c r="B8" s="1">
        <v>62</v>
      </c>
      <c r="C8" s="1">
        <v>67</v>
      </c>
      <c r="D8" s="1" t="s">
        <v>39</v>
      </c>
      <c r="E8" s="1" t="s">
        <v>41</v>
      </c>
      <c r="F8" s="1">
        <v>0.97</v>
      </c>
    </row>
    <row r="9" spans="1:6" ht="15">
      <c r="A9" s="1">
        <v>2</v>
      </c>
      <c r="B9" s="1">
        <v>68</v>
      </c>
      <c r="C9" s="1">
        <v>74</v>
      </c>
      <c r="D9" s="1" t="s">
        <v>35</v>
      </c>
      <c r="E9" s="1" t="s">
        <v>37</v>
      </c>
      <c r="F9" s="1">
        <v>0.97</v>
      </c>
    </row>
    <row r="10" spans="1:6" ht="15">
      <c r="A10" s="1">
        <v>3</v>
      </c>
      <c r="B10" s="1">
        <v>25</v>
      </c>
      <c r="C10" s="1">
        <v>42</v>
      </c>
      <c r="D10" s="1" t="s">
        <v>71</v>
      </c>
      <c r="E10" s="1" t="s">
        <v>73</v>
      </c>
      <c r="F10" s="1">
        <v>0.97</v>
      </c>
    </row>
    <row r="11" spans="1:6" ht="15">
      <c r="A11" s="1">
        <v>3</v>
      </c>
      <c r="B11" s="1">
        <v>61</v>
      </c>
      <c r="C11" s="1">
        <v>82</v>
      </c>
      <c r="D11" s="1" t="s">
        <v>77</v>
      </c>
      <c r="E11" s="1" t="s">
        <v>79</v>
      </c>
      <c r="F11" s="1">
        <v>0.97</v>
      </c>
    </row>
    <row r="12" spans="1:6" ht="15">
      <c r="A12" s="1">
        <v>4</v>
      </c>
      <c r="B12" s="1">
        <v>17</v>
      </c>
      <c r="C12" s="1">
        <v>26</v>
      </c>
      <c r="D12" s="1" t="s">
        <v>82</v>
      </c>
      <c r="E12" s="1" t="s">
        <v>84</v>
      </c>
      <c r="F12" s="1">
        <v>0.97</v>
      </c>
    </row>
    <row r="13" spans="1:6" ht="15">
      <c r="A13" s="1">
        <v>4</v>
      </c>
      <c r="B13" s="1">
        <v>49</v>
      </c>
      <c r="C13" s="1">
        <v>59</v>
      </c>
      <c r="D13" s="1" t="s">
        <v>92</v>
      </c>
      <c r="E13" s="1" t="s">
        <v>94</v>
      </c>
      <c r="F13" s="1">
        <v>0.97</v>
      </c>
    </row>
    <row r="14" spans="1:6" ht="15">
      <c r="A14" s="1">
        <v>4</v>
      </c>
      <c r="B14" s="1">
        <v>79</v>
      </c>
      <c r="C14" s="1">
        <v>89</v>
      </c>
      <c r="D14" s="1" t="s">
        <v>57</v>
      </c>
      <c r="E14" s="1" t="s">
        <v>59</v>
      </c>
      <c r="F14" s="1">
        <v>0.97</v>
      </c>
    </row>
    <row r="15" spans="1:6" ht="15">
      <c r="A15" s="1">
        <v>5</v>
      </c>
      <c r="B15" s="1">
        <v>27</v>
      </c>
      <c r="C15" s="1">
        <v>38</v>
      </c>
      <c r="D15" s="1" t="s">
        <v>102</v>
      </c>
      <c r="E15" s="1" t="s">
        <v>104</v>
      </c>
      <c r="F15" s="1">
        <v>0.97</v>
      </c>
    </row>
    <row r="16" spans="1:6" ht="15">
      <c r="A16" s="1">
        <v>5</v>
      </c>
      <c r="B16" s="1">
        <v>60</v>
      </c>
      <c r="C16" s="1">
        <v>71</v>
      </c>
      <c r="D16" s="1" t="s">
        <v>108</v>
      </c>
      <c r="E16" s="1" t="s">
        <v>110</v>
      </c>
      <c r="F16" s="1">
        <v>0.97</v>
      </c>
    </row>
    <row r="17" spans="1:6" ht="15">
      <c r="A17" s="1">
        <v>6</v>
      </c>
      <c r="B17" s="1">
        <v>12</v>
      </c>
      <c r="C17" s="1">
        <v>24</v>
      </c>
      <c r="D17" s="1" t="s">
        <v>9</v>
      </c>
      <c r="E17" s="1" t="s">
        <v>122</v>
      </c>
      <c r="F17" s="1">
        <v>0.97</v>
      </c>
    </row>
    <row r="18" spans="1:6" ht="15">
      <c r="A18" s="1">
        <v>6</v>
      </c>
      <c r="B18" s="1">
        <v>34</v>
      </c>
      <c r="C18" s="1">
        <v>48</v>
      </c>
      <c r="D18" s="1" t="s">
        <v>19</v>
      </c>
      <c r="E18" s="1" t="s">
        <v>123</v>
      </c>
      <c r="F18" s="1">
        <v>0.97</v>
      </c>
    </row>
    <row r="19" spans="1:6" ht="15">
      <c r="A19" s="1">
        <v>6</v>
      </c>
      <c r="B19" s="1">
        <v>53</v>
      </c>
      <c r="C19" s="1">
        <v>62</v>
      </c>
      <c r="D19" s="1" t="s">
        <v>53</v>
      </c>
      <c r="E19" s="1" t="s">
        <v>124</v>
      </c>
      <c r="F19" s="1">
        <v>0.97</v>
      </c>
    </row>
    <row r="20" spans="1:6" ht="15">
      <c r="A20" s="1">
        <v>7</v>
      </c>
      <c r="B20" s="1">
        <v>4</v>
      </c>
      <c r="C20" s="1">
        <v>17</v>
      </c>
      <c r="D20" s="1" t="s">
        <v>15</v>
      </c>
      <c r="E20" s="1" t="s">
        <v>125</v>
      </c>
      <c r="F20" s="1">
        <v>0.97</v>
      </c>
    </row>
    <row r="21" spans="1:6" ht="15">
      <c r="A21" s="1">
        <v>7</v>
      </c>
      <c r="B21" s="1">
        <v>57</v>
      </c>
      <c r="C21" s="1">
        <v>80</v>
      </c>
      <c r="D21" s="1" t="s">
        <v>126</v>
      </c>
      <c r="E21" s="1" t="s">
        <v>127</v>
      </c>
      <c r="F21" s="1">
        <v>0.97</v>
      </c>
    </row>
    <row r="22" spans="1:6" ht="15">
      <c r="A22" s="1">
        <v>7</v>
      </c>
      <c r="B22" s="1">
        <v>95</v>
      </c>
      <c r="C22" s="1">
        <v>106</v>
      </c>
      <c r="D22" s="1" t="s">
        <v>71</v>
      </c>
      <c r="E22" s="1">
        <v>912556789</v>
      </c>
      <c r="F22" s="1">
        <v>0.97</v>
      </c>
    </row>
    <row r="23" spans="1:6" ht="15">
      <c r="A23" s="1">
        <v>8</v>
      </c>
      <c r="B23" s="1">
        <v>0</v>
      </c>
      <c r="C23" s="1">
        <v>15</v>
      </c>
      <c r="D23" s="1" t="s">
        <v>128</v>
      </c>
      <c r="E23" s="1" t="s">
        <v>129</v>
      </c>
      <c r="F23" s="1">
        <v>0.97</v>
      </c>
    </row>
    <row r="24" spans="1:6" ht="15">
      <c r="A24" s="1">
        <v>8</v>
      </c>
      <c r="B24" s="1">
        <v>20</v>
      </c>
      <c r="C24" s="1">
        <v>21</v>
      </c>
      <c r="D24" s="1" t="s">
        <v>61</v>
      </c>
      <c r="E24" s="1">
        <v>52</v>
      </c>
      <c r="F24" s="1">
        <v>0.97</v>
      </c>
    </row>
    <row r="25" spans="1:6" ht="15">
      <c r="A25" s="1">
        <v>8</v>
      </c>
      <c r="B25" s="1">
        <v>41</v>
      </c>
      <c r="C25" s="1">
        <v>62</v>
      </c>
      <c r="D25" s="1" t="s">
        <v>19</v>
      </c>
      <c r="E25" s="1" t="s">
        <v>130</v>
      </c>
      <c r="F25" s="1">
        <v>0.97</v>
      </c>
    </row>
    <row r="26" spans="1:6" ht="15">
      <c r="A26" s="1">
        <v>8</v>
      </c>
      <c r="B26" s="1">
        <v>67</v>
      </c>
      <c r="C26" s="1">
        <v>76</v>
      </c>
      <c r="D26" s="1" t="s">
        <v>131</v>
      </c>
      <c r="E26" s="1" t="s">
        <v>132</v>
      </c>
      <c r="F26" s="1">
        <v>0.97</v>
      </c>
    </row>
    <row r="27" spans="1:6" ht="15">
      <c r="A27" s="1">
        <v>9</v>
      </c>
      <c r="B27" s="1">
        <v>36</v>
      </c>
      <c r="C27" s="1">
        <v>50</v>
      </c>
      <c r="D27" s="1" t="s">
        <v>30</v>
      </c>
      <c r="E27" s="1" t="s">
        <v>133</v>
      </c>
      <c r="F27" s="1">
        <v>0.97</v>
      </c>
    </row>
    <row r="28" spans="1:6" ht="15">
      <c r="A28" s="1">
        <v>9</v>
      </c>
      <c r="B28" s="1">
        <v>53</v>
      </c>
      <c r="C28" s="1">
        <v>57</v>
      </c>
      <c r="D28" s="1" t="s">
        <v>39</v>
      </c>
      <c r="E28" s="1">
        <v>28027</v>
      </c>
      <c r="F28" s="1">
        <v>0.97</v>
      </c>
    </row>
    <row r="29" spans="1:6" ht="15">
      <c r="A29" s="1">
        <v>9</v>
      </c>
      <c r="B29" s="1">
        <v>59</v>
      </c>
      <c r="C29" s="1">
        <v>64</v>
      </c>
      <c r="D29" s="1" t="s">
        <v>35</v>
      </c>
      <c r="E29" s="1" t="s">
        <v>37</v>
      </c>
      <c r="F29" s="1">
        <v>0.97</v>
      </c>
    </row>
    <row r="30" spans="1:6" ht="15">
      <c r="A30" s="1">
        <v>10</v>
      </c>
      <c r="B30" s="1">
        <v>23</v>
      </c>
      <c r="C30" s="1">
        <v>30</v>
      </c>
      <c r="D30" s="1" t="s">
        <v>88</v>
      </c>
      <c r="E30" s="1" t="s">
        <v>134</v>
      </c>
      <c r="F30" s="1">
        <v>0.97</v>
      </c>
    </row>
    <row r="31" spans="1:6" ht="15">
      <c r="A31" s="1">
        <v>11</v>
      </c>
      <c r="B31" s="1">
        <v>32</v>
      </c>
      <c r="C31" s="1">
        <v>40</v>
      </c>
      <c r="D31" s="1" t="s">
        <v>102</v>
      </c>
      <c r="E31" s="1" t="s">
        <v>135</v>
      </c>
      <c r="F31" s="1">
        <v>0.97</v>
      </c>
    </row>
    <row r="32" spans="1:6" ht="15">
      <c r="A32" s="1">
        <v>11</v>
      </c>
      <c r="B32" s="1">
        <v>62</v>
      </c>
      <c r="C32" s="1">
        <v>72</v>
      </c>
      <c r="D32" s="1" t="s">
        <v>108</v>
      </c>
      <c r="E32" s="1" t="s">
        <v>136</v>
      </c>
      <c r="F32" s="1">
        <v>0.97</v>
      </c>
    </row>
    <row r="33" spans="1:6" ht="15">
      <c r="A33" s="1">
        <v>12</v>
      </c>
      <c r="B33" s="1">
        <v>25</v>
      </c>
      <c r="C33" s="1">
        <v>49</v>
      </c>
      <c r="D33" s="1" t="s">
        <v>15</v>
      </c>
      <c r="E33" s="1" t="s">
        <v>137</v>
      </c>
      <c r="F33" s="1">
        <v>0.97</v>
      </c>
    </row>
    <row r="34" spans="1:6" ht="15">
      <c r="A34" s="1">
        <v>12</v>
      </c>
      <c r="B34" s="1">
        <v>70</v>
      </c>
      <c r="C34" s="1">
        <v>79</v>
      </c>
      <c r="D34" s="1" t="s">
        <v>138</v>
      </c>
      <c r="E34" s="1" t="s">
        <v>139</v>
      </c>
      <c r="F34" s="1">
        <v>0.97</v>
      </c>
    </row>
    <row r="35" spans="1:6" ht="15">
      <c r="A35" s="1">
        <v>13</v>
      </c>
      <c r="B35" s="1">
        <v>23</v>
      </c>
      <c r="C35" s="1">
        <v>32</v>
      </c>
      <c r="D35" s="1" t="s">
        <v>140</v>
      </c>
      <c r="E35" s="1" t="s">
        <v>141</v>
      </c>
      <c r="F35" s="1">
        <v>0.97</v>
      </c>
    </row>
    <row r="36" spans="1:6" ht="15">
      <c r="A36" s="1">
        <v>13</v>
      </c>
      <c r="B36" s="1">
        <v>52</v>
      </c>
      <c r="C36" s="1">
        <v>61</v>
      </c>
      <c r="D36" s="1" t="s">
        <v>142</v>
      </c>
      <c r="E36" s="1">
        <v>46084</v>
      </c>
      <c r="F36" s="1">
        <v>0.97</v>
      </c>
    </row>
    <row r="37" spans="1:6" ht="15">
      <c r="A37" s="1">
        <v>14</v>
      </c>
      <c r="B37" s="1">
        <v>33</v>
      </c>
      <c r="C37" s="1">
        <v>48</v>
      </c>
      <c r="D37" s="1" t="s">
        <v>71</v>
      </c>
      <c r="E37" s="1" t="s">
        <v>143</v>
      </c>
      <c r="F37" s="1">
        <v>0.97</v>
      </c>
    </row>
    <row r="38" spans="1:6" ht="15">
      <c r="A38" s="1">
        <v>14</v>
      </c>
      <c r="B38" s="1">
        <v>70</v>
      </c>
      <c r="C38" s="1">
        <v>95</v>
      </c>
      <c r="D38" s="1" t="s">
        <v>77</v>
      </c>
      <c r="E38" s="1" t="s">
        <v>144</v>
      </c>
      <c r="F38" s="1">
        <v>0.97</v>
      </c>
    </row>
    <row r="39" spans="1:6" ht="15">
      <c r="A39" s="1">
        <v>15</v>
      </c>
      <c r="B39" s="1">
        <v>12</v>
      </c>
      <c r="C39" s="1">
        <v>21</v>
      </c>
      <c r="D39" s="1" t="s">
        <v>9</v>
      </c>
      <c r="E39" s="1" t="s">
        <v>145</v>
      </c>
      <c r="F39" s="1">
        <v>0.97</v>
      </c>
    </row>
    <row r="40" spans="1:6" ht="15">
      <c r="A40" s="1">
        <v>15</v>
      </c>
      <c r="B40" s="1">
        <v>33</v>
      </c>
      <c r="C40" s="1">
        <v>42</v>
      </c>
      <c r="D40" s="1" t="s">
        <v>146</v>
      </c>
      <c r="E40" s="1">
        <v>33091</v>
      </c>
      <c r="F40" s="1">
        <v>0.97</v>
      </c>
    </row>
    <row r="41" spans="1:6" ht="15">
      <c r="A41" s="1">
        <v>16</v>
      </c>
      <c r="B41" s="1">
        <v>11</v>
      </c>
      <c r="C41" s="1">
        <v>31</v>
      </c>
      <c r="D41" s="1" t="s">
        <v>147</v>
      </c>
      <c r="E41" s="1" t="s">
        <v>148</v>
      </c>
      <c r="F41" s="1">
        <v>0.97</v>
      </c>
    </row>
    <row r="42" spans="1:6" ht="15">
      <c r="A42" s="1">
        <v>16</v>
      </c>
      <c r="B42" s="1">
        <v>53</v>
      </c>
      <c r="C42" s="1">
        <v>62</v>
      </c>
      <c r="D42" s="1" t="s">
        <v>149</v>
      </c>
      <c r="E42" s="1">
        <v>45782</v>
      </c>
      <c r="F42" s="1">
        <v>0.97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B10" sqref="B10"/>
    </sheetView>
  </sheetViews>
  <sheetFormatPr defaultRowHeight="14.45"/>
  <cols>
    <col min="1" max="1" width="17" customWidth="1"/>
    <col min="2" max="2" width="36.28515625" customWidth="1"/>
    <col min="3" max="3" width="30.7109375" customWidth="1"/>
  </cols>
  <sheetData>
    <row r="1" spans="1:3" ht="15">
      <c r="A1" s="2" t="s">
        <v>180</v>
      </c>
      <c r="B1" s="2" t="s">
        <v>181</v>
      </c>
      <c r="C1" s="2" t="s">
        <v>182</v>
      </c>
    </row>
    <row r="2" spans="1:3" ht="15">
      <c r="A2" s="1" t="s">
        <v>171</v>
      </c>
      <c r="B2" s="1" t="s">
        <v>183</v>
      </c>
      <c r="C2" s="1">
        <f>COUNTIF(Validacion_Modelo!E:E,"TP")</f>
        <v>40</v>
      </c>
    </row>
    <row r="3" spans="1:3" ht="15">
      <c r="A3" s="1" t="s">
        <v>184</v>
      </c>
      <c r="B3" s="1" t="s">
        <v>185</v>
      </c>
      <c r="C3" s="1">
        <f>COUNTIF(Validacion_Modelo!E:E,"FP")</f>
        <v>0</v>
      </c>
    </row>
    <row r="4" spans="1:3" ht="15">
      <c r="A4" s="1" t="s">
        <v>174</v>
      </c>
      <c r="B4" s="1" t="s">
        <v>186</v>
      </c>
      <c r="C4" s="1">
        <f>COUNTIF(Validacion_Modelo!E:E,"FN")</f>
        <v>1</v>
      </c>
    </row>
    <row r="5" spans="1:3" ht="15">
      <c r="A5" s="1" t="s">
        <v>187</v>
      </c>
      <c r="B5" s="1" t="s">
        <v>188</v>
      </c>
      <c r="C5" s="1">
        <f>IF((C2+C3)=0,"",C2/(C2+C3))</f>
        <v>1</v>
      </c>
    </row>
    <row r="6" spans="1:3" ht="15">
      <c r="A6" s="1" t="s">
        <v>189</v>
      </c>
      <c r="B6" s="1" t="s">
        <v>190</v>
      </c>
      <c r="C6" s="1">
        <f>IF((C2+C4)=0,"",C2/(C2+C4))</f>
        <v>0.97560975609756095</v>
      </c>
    </row>
    <row r="7" spans="1:3" ht="15">
      <c r="A7" s="1" t="s">
        <v>191</v>
      </c>
      <c r="B7" s="1" t="s">
        <v>192</v>
      </c>
      <c r="C7" s="1">
        <f>IF(OR(C4="",C5=""),"",2*C4*C5/(C4+C5))</f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E2DCBBE25B0C4F8319B1D0BE75EAA5" ma:contentTypeVersion="3" ma:contentTypeDescription="Create a new document." ma:contentTypeScope="" ma:versionID="8d7f7ffd1a01ca06fc6797baedb250ec">
  <xsd:schema xmlns:xsd="http://www.w3.org/2001/XMLSchema" xmlns:xs="http://www.w3.org/2001/XMLSchema" xmlns:p="http://schemas.microsoft.com/office/2006/metadata/properties" xmlns:ns2="4bc0b713-a6bb-49cc-9acf-2668643e2a67" targetNamespace="http://schemas.microsoft.com/office/2006/metadata/properties" ma:root="true" ma:fieldsID="ab69d1da13924804f8b419b343ff9a78" ns2:_="">
    <xsd:import namespace="4bc0b713-a6bb-49cc-9acf-2668643e2a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0b713-a6bb-49cc-9acf-2668643e2a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2442FA-4473-418E-9AC1-2745448CC18F}"/>
</file>

<file path=customXml/itemProps2.xml><?xml version="1.0" encoding="utf-8"?>
<ds:datastoreItem xmlns:ds="http://schemas.openxmlformats.org/officeDocument/2006/customXml" ds:itemID="{4702C60B-06A0-4F8F-8D1F-22E7D3AE124E}"/>
</file>

<file path=customXml/itemProps3.xml><?xml version="1.0" encoding="utf-8"?>
<ds:datastoreItem xmlns:ds="http://schemas.openxmlformats.org/officeDocument/2006/customXml" ds:itemID="{B08F4828-318C-4AB4-9833-FDD398AFDD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Alias Laguna</dc:creator>
  <cp:keywords/>
  <dc:description/>
  <cp:lastModifiedBy>Juan Carlos Alias Laguna</cp:lastModifiedBy>
  <cp:revision/>
  <dcterms:created xsi:type="dcterms:W3CDTF">2025-12-05T10:27:22Z</dcterms:created>
  <dcterms:modified xsi:type="dcterms:W3CDTF">2025-12-10T15:07:54Z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0x0101003BE2DCBBE25B0C4F8319B1D0BE75EAA5</vt:lpwstr>
  </property>
</Properties>
</file>